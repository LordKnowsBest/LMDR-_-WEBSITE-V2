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olan\Repositories\VelocityMatch-ProForma\"/>
    </mc:Choice>
  </mc:AlternateContent>
  <xr:revisionPtr revIDLastSave="0" documentId="13_ncr:1_{359E33D6-D18C-4715-9855-C4DF4359E65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&amp;L Dashboard" sheetId="1" r:id="rId1"/>
    <sheet name="Cash Flow Dashboard" sheetId="2" r:id="rId2"/>
    <sheet name="Growth Metrics" sheetId="3" r:id="rId3"/>
    <sheet name="Scenario Analysis" sheetId="4" r:id="rId4"/>
    <sheet name="Platform Roadmap" sheetId="5" r:id="rId5"/>
    <sheet name="Assumptions" sheetId="6" r:id="rId6"/>
    <sheet name="Churn Model" sheetId="7" r:id="rId7"/>
    <sheet name="Startup Costs-Led BuildWA" sheetId="8" r:id="rId8"/>
    <sheet name="Revenue Model Overview" sheetId="9" r:id="rId9"/>
    <sheet name="Operating Expenses" sheetId="10" r:id="rId10"/>
    <sheet name="P&amp;L" sheetId="11" r:id="rId11"/>
    <sheet name="Cash Flow" sheetId="12" r:id="rId12"/>
    <sheet name="Balance Sheet" sheetId="13" r:id="rId13"/>
    <sheet name="Sources &amp; Research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3" l="1"/>
  <c r="C25" i="13" s="1"/>
  <c r="E21" i="13"/>
  <c r="D21" i="13"/>
  <c r="E16" i="13"/>
  <c r="D16" i="13"/>
  <c r="C16" i="13"/>
  <c r="E13" i="13"/>
  <c r="D13" i="13"/>
  <c r="C13" i="13"/>
  <c r="E9" i="13"/>
  <c r="D9" i="13"/>
  <c r="AB21" i="12"/>
  <c r="AA21" i="12"/>
  <c r="C21" i="12"/>
  <c r="C18" i="12"/>
  <c r="AB17" i="12"/>
  <c r="AA17" i="12"/>
  <c r="E36" i="11"/>
  <c r="D36" i="11"/>
  <c r="C36" i="11"/>
  <c r="C34" i="11"/>
  <c r="C28" i="11"/>
  <c r="B16" i="11"/>
  <c r="B12" i="11"/>
  <c r="B11" i="11"/>
  <c r="B9" i="11"/>
  <c r="B8" i="11"/>
  <c r="B7" i="11"/>
  <c r="H54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O49" i="10" s="1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N47" i="10"/>
  <c r="N54" i="10" s="1"/>
  <c r="M47" i="10"/>
  <c r="L47" i="10"/>
  <c r="L54" i="10" s="1"/>
  <c r="K47" i="10"/>
  <c r="J47" i="10"/>
  <c r="I47" i="10"/>
  <c r="H47" i="10"/>
  <c r="G47" i="10"/>
  <c r="F47" i="10"/>
  <c r="E47" i="10"/>
  <c r="D47" i="10"/>
  <c r="C47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N44" i="10"/>
  <c r="M44" i="10"/>
  <c r="L44" i="10"/>
  <c r="K44" i="10"/>
  <c r="J44" i="10"/>
  <c r="I44" i="10"/>
  <c r="H44" i="10"/>
  <c r="G44" i="10"/>
  <c r="F44" i="10"/>
  <c r="F54" i="10" s="1"/>
  <c r="E44" i="10"/>
  <c r="E54" i="10" s="1"/>
  <c r="D44" i="10"/>
  <c r="C44" i="10"/>
  <c r="O44" i="10" s="1"/>
  <c r="N43" i="10"/>
  <c r="L43" i="10"/>
  <c r="J43" i="10"/>
  <c r="N42" i="10"/>
  <c r="M42" i="10"/>
  <c r="K42" i="10"/>
  <c r="I42" i="10"/>
  <c r="G42" i="10"/>
  <c r="D42" i="10"/>
  <c r="C42" i="10"/>
  <c r="N41" i="10"/>
  <c r="M41" i="10"/>
  <c r="L41" i="10"/>
  <c r="K41" i="10"/>
  <c r="J41" i="10"/>
  <c r="O41" i="10" s="1"/>
  <c r="I41" i="10"/>
  <c r="H41" i="10"/>
  <c r="G41" i="10"/>
  <c r="F41" i="10"/>
  <c r="E41" i="10"/>
  <c r="D41" i="10"/>
  <c r="C41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N36" i="10"/>
  <c r="M36" i="10"/>
  <c r="L36" i="10"/>
  <c r="O36" i="10" s="1"/>
  <c r="K36" i="10"/>
  <c r="J36" i="10"/>
  <c r="I36" i="10"/>
  <c r="H36" i="10"/>
  <c r="G36" i="10"/>
  <c r="F36" i="10"/>
  <c r="E36" i="10"/>
  <c r="D36" i="10"/>
  <c r="C36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N34" i="10"/>
  <c r="L34" i="10"/>
  <c r="K34" i="10"/>
  <c r="J34" i="10"/>
  <c r="I34" i="10"/>
  <c r="G34" i="10"/>
  <c r="F34" i="10"/>
  <c r="E34" i="10"/>
  <c r="D34" i="10"/>
  <c r="C34" i="10"/>
  <c r="C20" i="10"/>
  <c r="C19" i="10"/>
  <c r="J42" i="10" s="1"/>
  <c r="C16" i="10"/>
  <c r="C8" i="10"/>
  <c r="M34" i="10" s="1"/>
  <c r="C7" i="10"/>
  <c r="B89" i="8"/>
  <c r="B88" i="8"/>
  <c r="B87" i="8"/>
  <c r="B86" i="8"/>
  <c r="B85" i="8"/>
  <c r="B84" i="8"/>
  <c r="B83" i="8"/>
  <c r="F46" i="8"/>
  <c r="F45" i="8"/>
  <c r="F44" i="8"/>
  <c r="F43" i="8"/>
  <c r="F42" i="8"/>
  <c r="F41" i="8"/>
  <c r="F40" i="8"/>
  <c r="F37" i="8"/>
  <c r="E37" i="8"/>
  <c r="F36" i="8"/>
  <c r="E36" i="8"/>
  <c r="F35" i="8"/>
  <c r="E35" i="8"/>
  <c r="F34" i="8"/>
  <c r="F33" i="8"/>
  <c r="E33" i="8"/>
  <c r="F29" i="8"/>
  <c r="E29" i="8"/>
  <c r="F27" i="8"/>
  <c r="E27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6" i="8"/>
  <c r="E16" i="8"/>
  <c r="F15" i="8"/>
  <c r="F14" i="8"/>
  <c r="E14" i="8"/>
  <c r="F13" i="8"/>
  <c r="E13" i="8"/>
  <c r="F12" i="8"/>
  <c r="E12" i="8"/>
  <c r="F11" i="8"/>
  <c r="F10" i="8"/>
  <c r="F9" i="8"/>
  <c r="E9" i="8"/>
  <c r="F8" i="8"/>
  <c r="E8" i="8"/>
  <c r="F7" i="8"/>
  <c r="E7" i="8"/>
  <c r="F6" i="8"/>
  <c r="E6" i="8"/>
  <c r="B59" i="7"/>
  <c r="F30" i="7"/>
  <c r="F31" i="7" s="1"/>
  <c r="F32" i="7" s="1"/>
  <c r="F33" i="7" s="1"/>
  <c r="F34" i="7" s="1"/>
  <c r="F35" i="7" s="1"/>
  <c r="E29" i="7"/>
  <c r="B30" i="7" s="1"/>
  <c r="C22" i="7"/>
  <c r="C21" i="7"/>
  <c r="C19" i="7"/>
  <c r="B18" i="7"/>
  <c r="B22" i="7" s="1"/>
  <c r="C17" i="7"/>
  <c r="C16" i="7"/>
  <c r="C15" i="7"/>
  <c r="B10" i="7"/>
  <c r="B9" i="7"/>
  <c r="B8" i="7"/>
  <c r="B33" i="5"/>
  <c r="C25" i="5"/>
  <c r="B25" i="5"/>
  <c r="C24" i="5"/>
  <c r="C23" i="5"/>
  <c r="C22" i="5"/>
  <c r="C21" i="5"/>
  <c r="A14" i="5"/>
  <c r="C33" i="4"/>
  <c r="D26" i="4"/>
  <c r="C35" i="4" s="1"/>
  <c r="C26" i="4"/>
  <c r="B26" i="4"/>
  <c r="C15" i="4"/>
  <c r="D14" i="4"/>
  <c r="C14" i="4"/>
  <c r="F13" i="4"/>
  <c r="E13" i="4"/>
  <c r="B13" i="4"/>
  <c r="F11" i="4"/>
  <c r="E11" i="4"/>
  <c r="D11" i="4"/>
  <c r="C11" i="4"/>
  <c r="B11" i="4"/>
  <c r="F10" i="4"/>
  <c r="E10" i="4"/>
  <c r="D10" i="4"/>
  <c r="D21" i="4" s="1"/>
  <c r="C10" i="4"/>
  <c r="B7" i="7" s="1"/>
  <c r="B10" i="4"/>
  <c r="B21" i="4" s="1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C21" i="4" s="1"/>
  <c r="B7" i="4"/>
  <c r="B6" i="3"/>
  <c r="C6" i="2"/>
  <c r="E8" i="1"/>
  <c r="E7" i="1"/>
  <c r="E6" i="1"/>
  <c r="C23" i="4" l="1"/>
  <c r="C22" i="4"/>
  <c r="C24" i="4" s="1"/>
  <c r="F36" i="7"/>
  <c r="B23" i="4"/>
  <c r="B22" i="4"/>
  <c r="B24" i="4" s="1"/>
  <c r="B17" i="7"/>
  <c r="B19" i="7" s="1"/>
  <c r="B21" i="7" s="1"/>
  <c r="B15" i="7"/>
  <c r="B16" i="7" s="1"/>
  <c r="D23" i="4"/>
  <c r="D22" i="4"/>
  <c r="D24" i="4" s="1"/>
  <c r="C37" i="11"/>
  <c r="O45" i="10"/>
  <c r="C54" i="10"/>
  <c r="C30" i="11"/>
  <c r="C35" i="11"/>
  <c r="C29" i="11"/>
  <c r="D54" i="10"/>
  <c r="M33" i="10"/>
  <c r="K33" i="10"/>
  <c r="J33" i="10"/>
  <c r="I33" i="10"/>
  <c r="H33" i="10"/>
  <c r="E33" i="10"/>
  <c r="F48" i="8"/>
  <c r="M39" i="10"/>
  <c r="M52" i="10" s="1"/>
  <c r="L39" i="10"/>
  <c r="L52" i="10" s="1"/>
  <c r="K39" i="10"/>
  <c r="K52" i="10" s="1"/>
  <c r="J39" i="10"/>
  <c r="J52" i="10" s="1"/>
  <c r="G39" i="10"/>
  <c r="G52" i="10" s="1"/>
  <c r="C39" i="10"/>
  <c r="D39" i="10"/>
  <c r="D52" i="10" s="1"/>
  <c r="G54" i="10"/>
  <c r="J54" i="10"/>
  <c r="J53" i="10"/>
  <c r="E39" i="10"/>
  <c r="E52" i="10" s="1"/>
  <c r="G53" i="10"/>
  <c r="K54" i="10"/>
  <c r="O47" i="10"/>
  <c r="M43" i="10"/>
  <c r="M53" i="10" s="1"/>
  <c r="K43" i="10"/>
  <c r="K53" i="10" s="1"/>
  <c r="I43" i="10"/>
  <c r="I53" i="10" s="1"/>
  <c r="H43" i="10"/>
  <c r="G43" i="10"/>
  <c r="F43" i="10"/>
  <c r="C43" i="10"/>
  <c r="F39" i="10"/>
  <c r="F52" i="10" s="1"/>
  <c r="I54" i="10"/>
  <c r="G29" i="7"/>
  <c r="C33" i="10"/>
  <c r="H39" i="10"/>
  <c r="H52" i="10" s="1"/>
  <c r="C30" i="7"/>
  <c r="D30" i="7" s="1"/>
  <c r="E30" i="7" s="1"/>
  <c r="D33" i="10"/>
  <c r="I39" i="10"/>
  <c r="I52" i="10" s="1"/>
  <c r="C32" i="11"/>
  <c r="C6" i="3"/>
  <c r="F33" i="10"/>
  <c r="O35" i="10"/>
  <c r="N39" i="10"/>
  <c r="N52" i="10" s="1"/>
  <c r="N53" i="10"/>
  <c r="O46" i="10"/>
  <c r="G33" i="10"/>
  <c r="O40" i="10"/>
  <c r="M54" i="10"/>
  <c r="B90" i="8"/>
  <c r="L33" i="10"/>
  <c r="D43" i="10"/>
  <c r="D53" i="10" s="1"/>
  <c r="C53" i="10"/>
  <c r="C34" i="4"/>
  <c r="N33" i="10"/>
  <c r="E43" i="10"/>
  <c r="L42" i="10"/>
  <c r="L53" i="10" s="1"/>
  <c r="H34" i="10"/>
  <c r="O34" i="10" s="1"/>
  <c r="E42" i="10"/>
  <c r="F42" i="10"/>
  <c r="F53" i="10" s="1"/>
  <c r="H42" i="10"/>
  <c r="H53" i="10" s="1"/>
  <c r="B31" i="7" l="1"/>
  <c r="D28" i="11"/>
  <c r="B7" i="3"/>
  <c r="C31" i="7"/>
  <c r="D31" i="7" s="1"/>
  <c r="G30" i="7"/>
  <c r="C19" i="12"/>
  <c r="F6" i="1"/>
  <c r="G38" i="10"/>
  <c r="G51" i="10" s="1"/>
  <c r="G56" i="10" s="1"/>
  <c r="G40" i="11" s="1"/>
  <c r="D38" i="10"/>
  <c r="D51" i="10"/>
  <c r="D56" i="10" s="1"/>
  <c r="D40" i="11" s="1"/>
  <c r="B25" i="4"/>
  <c r="D25" i="4"/>
  <c r="K51" i="10"/>
  <c r="K56" i="10" s="1"/>
  <c r="K40" i="11" s="1"/>
  <c r="K38" i="10"/>
  <c r="L38" i="10"/>
  <c r="L51" i="10"/>
  <c r="L56" i="10" s="1"/>
  <c r="L40" i="11" s="1"/>
  <c r="F37" i="7"/>
  <c r="E38" i="10"/>
  <c r="E51" i="10" s="1"/>
  <c r="E56" i="10" s="1"/>
  <c r="E40" i="11" s="1"/>
  <c r="O33" i="10"/>
  <c r="C38" i="10"/>
  <c r="C51" i="10" s="1"/>
  <c r="H38" i="10"/>
  <c r="H51" i="10"/>
  <c r="H56" i="10" s="1"/>
  <c r="H40" i="11" s="1"/>
  <c r="J38" i="10"/>
  <c r="J51" i="10"/>
  <c r="J56" i="10" s="1"/>
  <c r="J40" i="11" s="1"/>
  <c r="O43" i="10"/>
  <c r="C6" i="1"/>
  <c r="C33" i="11"/>
  <c r="F38" i="10"/>
  <c r="F51" i="10" s="1"/>
  <c r="F56" i="10" s="1"/>
  <c r="F40" i="11" s="1"/>
  <c r="E28" i="13"/>
  <c r="D28" i="13"/>
  <c r="C7" i="13"/>
  <c r="C28" i="13"/>
  <c r="C30" i="13" s="1"/>
  <c r="B7" i="12"/>
  <c r="D27" i="4"/>
  <c r="B27" i="4"/>
  <c r="O42" i="10"/>
  <c r="E53" i="10"/>
  <c r="O53" i="10" s="1"/>
  <c r="N38" i="10"/>
  <c r="N51" i="10" s="1"/>
  <c r="N56" i="10" s="1"/>
  <c r="C52" i="10"/>
  <c r="O52" i="10" s="1"/>
  <c r="O39" i="10"/>
  <c r="F6" i="3"/>
  <c r="G6" i="3" s="1"/>
  <c r="D6" i="1"/>
  <c r="I38" i="10"/>
  <c r="I51" i="10"/>
  <c r="I56" i="10" s="1"/>
  <c r="I40" i="11" s="1"/>
  <c r="M38" i="10"/>
  <c r="M51" i="10" s="1"/>
  <c r="M56" i="10" s="1"/>
  <c r="M40" i="11" s="1"/>
  <c r="C27" i="4"/>
  <c r="O54" i="10"/>
  <c r="C25" i="4"/>
  <c r="M20" i="12" l="1"/>
  <c r="H16" i="1"/>
  <c r="G20" i="12"/>
  <c r="H10" i="1"/>
  <c r="H8" i="1"/>
  <c r="E20" i="12"/>
  <c r="H9" i="1"/>
  <c r="F20" i="12"/>
  <c r="E20" i="13"/>
  <c r="V40" i="11"/>
  <c r="D20" i="13"/>
  <c r="U40" i="11"/>
  <c r="T40" i="11"/>
  <c r="R40" i="11"/>
  <c r="Q40" i="11"/>
  <c r="P40" i="11"/>
  <c r="O40" i="11"/>
  <c r="X40" i="11"/>
  <c r="W40" i="11"/>
  <c r="S40" i="11"/>
  <c r="N40" i="11"/>
  <c r="Z40" i="11"/>
  <c r="Y40" i="11"/>
  <c r="C56" i="10"/>
  <c r="O51" i="10"/>
  <c r="D20" i="12"/>
  <c r="H7" i="1"/>
  <c r="C15" i="12"/>
  <c r="B33" i="12"/>
  <c r="K20" i="12"/>
  <c r="H14" i="1"/>
  <c r="B43" i="13"/>
  <c r="C10" i="13"/>
  <c r="I20" i="12"/>
  <c r="H12" i="1"/>
  <c r="L20" i="12"/>
  <c r="H15" i="1"/>
  <c r="C32" i="13"/>
  <c r="B42" i="13"/>
  <c r="F38" i="7"/>
  <c r="D32" i="11"/>
  <c r="D35" i="11"/>
  <c r="C7" i="3"/>
  <c r="D34" i="11"/>
  <c r="D29" i="11"/>
  <c r="D30" i="11"/>
  <c r="J20" i="12"/>
  <c r="H13" i="1"/>
  <c r="H20" i="12"/>
  <c r="H11" i="1"/>
  <c r="O38" i="10"/>
  <c r="E31" i="7"/>
  <c r="C48" i="11"/>
  <c r="C38" i="11"/>
  <c r="D16" i="12"/>
  <c r="D6" i="3"/>
  <c r="E6" i="3" s="1"/>
  <c r="B6" i="1"/>
  <c r="H20" i="1" l="1"/>
  <c r="Q20" i="12"/>
  <c r="H21" i="1"/>
  <c r="R20" i="12"/>
  <c r="T20" i="12"/>
  <c r="H23" i="1"/>
  <c r="P20" i="12"/>
  <c r="H19" i="1"/>
  <c r="C50" i="11"/>
  <c r="G6" i="1"/>
  <c r="C41" i="11"/>
  <c r="F39" i="7"/>
  <c r="U20" i="12"/>
  <c r="H24" i="1"/>
  <c r="H29" i="1"/>
  <c r="Z20" i="12"/>
  <c r="V20" i="12"/>
  <c r="H25" i="1"/>
  <c r="N20" i="12"/>
  <c r="H17" i="1"/>
  <c r="B6" i="2"/>
  <c r="H22" i="1"/>
  <c r="S20" i="12"/>
  <c r="B8" i="3"/>
  <c r="E28" i="11"/>
  <c r="B32" i="7"/>
  <c r="C32" i="7"/>
  <c r="D32" i="7" s="1"/>
  <c r="G31" i="7"/>
  <c r="O56" i="10"/>
  <c r="C40" i="11"/>
  <c r="Y20" i="12"/>
  <c r="H28" i="1"/>
  <c r="W20" i="12"/>
  <c r="H26" i="1"/>
  <c r="D18" i="12"/>
  <c r="C17" i="13"/>
  <c r="C34" i="13" s="1"/>
  <c r="B41" i="13"/>
  <c r="D37" i="11"/>
  <c r="X20" i="12"/>
  <c r="H27" i="1"/>
  <c r="F7" i="3"/>
  <c r="G7" i="3" s="1"/>
  <c r="D7" i="1"/>
  <c r="C7" i="1"/>
  <c r="D33" i="11"/>
  <c r="C39" i="11"/>
  <c r="AB40" i="11"/>
  <c r="H18" i="1"/>
  <c r="O20" i="12"/>
  <c r="AB20" i="12" l="1"/>
  <c r="C52" i="11"/>
  <c r="C20" i="12"/>
  <c r="AA40" i="11"/>
  <c r="B52" i="11" s="1"/>
  <c r="H6" i="1"/>
  <c r="D38" i="11"/>
  <c r="E16" i="12"/>
  <c r="D39" i="11"/>
  <c r="J7" i="1" s="1"/>
  <c r="B7" i="1"/>
  <c r="D7" i="3"/>
  <c r="E7" i="3" s="1"/>
  <c r="C53" i="11"/>
  <c r="I6" i="1"/>
  <c r="C42" i="11"/>
  <c r="J6" i="1"/>
  <c r="C7" i="2"/>
  <c r="E32" i="7"/>
  <c r="E32" i="11"/>
  <c r="E30" i="11"/>
  <c r="C8" i="3"/>
  <c r="E34" i="11"/>
  <c r="E35" i="11"/>
  <c r="E29" i="11"/>
  <c r="D19" i="12"/>
  <c r="F7" i="1"/>
  <c r="F40" i="7"/>
  <c r="D22" i="12" l="1"/>
  <c r="E37" i="11"/>
  <c r="F8" i="3"/>
  <c r="G8" i="3" s="1"/>
  <c r="D8" i="1"/>
  <c r="K6" i="1"/>
  <c r="E33" i="11"/>
  <c r="C8" i="1"/>
  <c r="G7" i="1"/>
  <c r="D41" i="11"/>
  <c r="F28" i="11"/>
  <c r="C33" i="7"/>
  <c r="B9" i="3"/>
  <c r="B33" i="7"/>
  <c r="G32" i="7"/>
  <c r="B57" i="7"/>
  <c r="F41" i="7"/>
  <c r="AA20" i="12"/>
  <c r="C22" i="12"/>
  <c r="E18" i="12"/>
  <c r="I7" i="1" l="1"/>
  <c r="D42" i="11"/>
  <c r="C8" i="2"/>
  <c r="D6" i="2"/>
  <c r="C23" i="12"/>
  <c r="F8" i="1"/>
  <c r="E19" i="12"/>
  <c r="F42" i="7"/>
  <c r="D33" i="7"/>
  <c r="E33" i="7" s="1"/>
  <c r="F32" i="11"/>
  <c r="F30" i="11"/>
  <c r="F35" i="11"/>
  <c r="F31" i="11"/>
  <c r="F29" i="11"/>
  <c r="C9" i="3"/>
  <c r="F34" i="11"/>
  <c r="E38" i="11"/>
  <c r="D8" i="3"/>
  <c r="E8" i="3" s="1"/>
  <c r="B8" i="1"/>
  <c r="F16" i="12"/>
  <c r="D7" i="2"/>
  <c r="D23" i="12"/>
  <c r="E7" i="2" s="1"/>
  <c r="B34" i="7" l="1"/>
  <c r="G28" i="11"/>
  <c r="B10" i="3"/>
  <c r="G33" i="7"/>
  <c r="C34" i="7"/>
  <c r="D34" i="7" s="1"/>
  <c r="E22" i="12"/>
  <c r="F18" i="12"/>
  <c r="C25" i="12"/>
  <c r="D25" i="12" s="1"/>
  <c r="B40" i="12"/>
  <c r="E6" i="2"/>
  <c r="C24" i="12"/>
  <c r="E41" i="11"/>
  <c r="G8" i="1"/>
  <c r="K7" i="1"/>
  <c r="F33" i="11"/>
  <c r="C9" i="1"/>
  <c r="E9" i="1"/>
  <c r="F36" i="11"/>
  <c r="F9" i="3"/>
  <c r="G9" i="3" s="1"/>
  <c r="D9" i="1"/>
  <c r="E39" i="11"/>
  <c r="F43" i="7"/>
  <c r="J8" i="1" l="1"/>
  <c r="F37" i="11"/>
  <c r="F38" i="11"/>
  <c r="G16" i="12"/>
  <c r="D9" i="3"/>
  <c r="E9" i="3" s="1"/>
  <c r="B9" i="1"/>
  <c r="G30" i="11"/>
  <c r="G35" i="11"/>
  <c r="G29" i="11"/>
  <c r="G31" i="11"/>
  <c r="G32" i="11"/>
  <c r="C10" i="3"/>
  <c r="G34" i="11"/>
  <c r="E34" i="7"/>
  <c r="C9" i="2"/>
  <c r="D8" i="2"/>
  <c r="E23" i="12"/>
  <c r="F44" i="7"/>
  <c r="I8" i="1"/>
  <c r="E42" i="11"/>
  <c r="F6" i="2"/>
  <c r="D15" i="12"/>
  <c r="C26" i="12"/>
  <c r="G6" i="2" s="1"/>
  <c r="E8" i="2" l="1"/>
  <c r="F45" i="7"/>
  <c r="G18" i="12"/>
  <c r="G33" i="11"/>
  <c r="C10" i="1"/>
  <c r="F41" i="11"/>
  <c r="G9" i="1"/>
  <c r="F19" i="12"/>
  <c r="F9" i="1"/>
  <c r="F10" i="3"/>
  <c r="G10" i="3" s="1"/>
  <c r="D10" i="1"/>
  <c r="B7" i="2"/>
  <c r="D24" i="12"/>
  <c r="F39" i="11"/>
  <c r="E25" i="12"/>
  <c r="G37" i="11"/>
  <c r="B11" i="3"/>
  <c r="H28" i="11"/>
  <c r="C35" i="7"/>
  <c r="D35" i="7" s="1"/>
  <c r="B35" i="7"/>
  <c r="G34" i="7"/>
  <c r="K8" i="1"/>
  <c r="G36" i="11"/>
  <c r="E10" i="1"/>
  <c r="E35" i="7" l="1"/>
  <c r="F22" i="12"/>
  <c r="G19" i="12"/>
  <c r="G22" i="12" s="1"/>
  <c r="F10" i="1"/>
  <c r="H35" i="11"/>
  <c r="H34" i="11"/>
  <c r="H32" i="11"/>
  <c r="C11" i="3"/>
  <c r="H29" i="11"/>
  <c r="H30" i="11"/>
  <c r="H31" i="11"/>
  <c r="G23" i="12"/>
  <c r="E10" i="2" s="1"/>
  <c r="C10" i="2"/>
  <c r="I9" i="1"/>
  <c r="F42" i="11"/>
  <c r="F46" i="7"/>
  <c r="E15" i="12"/>
  <c r="F7" i="2"/>
  <c r="D26" i="12"/>
  <c r="G7" i="2" s="1"/>
  <c r="D10" i="3"/>
  <c r="E10" i="3" s="1"/>
  <c r="H16" i="12"/>
  <c r="G39" i="11"/>
  <c r="J10" i="1" s="1"/>
  <c r="B10" i="1"/>
  <c r="G38" i="11"/>
  <c r="J9" i="1"/>
  <c r="H33" i="11" l="1"/>
  <c r="C11" i="1"/>
  <c r="H18" i="12"/>
  <c r="H36" i="11"/>
  <c r="E11" i="1"/>
  <c r="D9" i="2"/>
  <c r="F23" i="12"/>
  <c r="G41" i="11"/>
  <c r="G10" i="1"/>
  <c r="F11" i="3"/>
  <c r="G11" i="3" s="1"/>
  <c r="D11" i="1"/>
  <c r="B8" i="2"/>
  <c r="E24" i="12"/>
  <c r="D10" i="2"/>
  <c r="F47" i="7"/>
  <c r="K9" i="1"/>
  <c r="I28" i="11"/>
  <c r="C36" i="7"/>
  <c r="D36" i="7" s="1"/>
  <c r="B36" i="7"/>
  <c r="B12" i="3"/>
  <c r="G35" i="7"/>
  <c r="E9" i="2" l="1"/>
  <c r="F25" i="12"/>
  <c r="G25" i="12" s="1"/>
  <c r="C11" i="2"/>
  <c r="F48" i="7"/>
  <c r="F15" i="12"/>
  <c r="F8" i="2"/>
  <c r="E26" i="12"/>
  <c r="G8" i="2" s="1"/>
  <c r="H37" i="11"/>
  <c r="I31" i="11"/>
  <c r="C12" i="3"/>
  <c r="I30" i="11"/>
  <c r="I35" i="11"/>
  <c r="I29" i="11"/>
  <c r="I32" i="11"/>
  <c r="I34" i="11"/>
  <c r="E36" i="7"/>
  <c r="I10" i="1"/>
  <c r="G42" i="11"/>
  <c r="I16" i="12"/>
  <c r="I18" i="12" s="1"/>
  <c r="D11" i="3"/>
  <c r="E11" i="3" s="1"/>
  <c r="B11" i="1"/>
  <c r="I36" i="11" l="1"/>
  <c r="E12" i="1"/>
  <c r="H19" i="12"/>
  <c r="H22" i="12" s="1"/>
  <c r="F11" i="1"/>
  <c r="F24" i="12"/>
  <c r="B9" i="2"/>
  <c r="H38" i="11"/>
  <c r="B37" i="7"/>
  <c r="J28" i="11"/>
  <c r="B13" i="3"/>
  <c r="C37" i="7"/>
  <c r="D37" i="7" s="1"/>
  <c r="G36" i="7"/>
  <c r="D12" i="1"/>
  <c r="F12" i="3"/>
  <c r="G12" i="3" s="1"/>
  <c r="I37" i="11"/>
  <c r="C12" i="2"/>
  <c r="K10" i="1"/>
  <c r="F49" i="7"/>
  <c r="I33" i="11"/>
  <c r="C12" i="1"/>
  <c r="F50" i="7" l="1"/>
  <c r="E37" i="7"/>
  <c r="G15" i="12"/>
  <c r="F9" i="2"/>
  <c r="F26" i="12"/>
  <c r="G9" i="2" s="1"/>
  <c r="J31" i="11"/>
  <c r="J29" i="11"/>
  <c r="J35" i="11"/>
  <c r="J32" i="11"/>
  <c r="C13" i="3"/>
  <c r="J30" i="11"/>
  <c r="J34" i="11"/>
  <c r="H41" i="11"/>
  <c r="G11" i="1"/>
  <c r="H39" i="11"/>
  <c r="J11" i="1" s="1"/>
  <c r="I38" i="11"/>
  <c r="I39" i="11" s="1"/>
  <c r="J12" i="1" s="1"/>
  <c r="J16" i="12"/>
  <c r="J18" i="12" s="1"/>
  <c r="B12" i="1"/>
  <c r="D12" i="3"/>
  <c r="E12" i="3" s="1"/>
  <c r="D11" i="2"/>
  <c r="H23" i="12"/>
  <c r="F12" i="1"/>
  <c r="I19" i="12"/>
  <c r="I22" i="12" s="1"/>
  <c r="D12" i="2" l="1"/>
  <c r="I23" i="12"/>
  <c r="E12" i="2" s="1"/>
  <c r="J33" i="11"/>
  <c r="C13" i="1"/>
  <c r="E11" i="2"/>
  <c r="H25" i="12"/>
  <c r="I25" i="12" s="1"/>
  <c r="F13" i="3"/>
  <c r="G13" i="3" s="1"/>
  <c r="D13" i="1"/>
  <c r="C13" i="2"/>
  <c r="G24" i="12"/>
  <c r="B10" i="2"/>
  <c r="G12" i="1"/>
  <c r="I41" i="11"/>
  <c r="K28" i="11"/>
  <c r="B38" i="7"/>
  <c r="B14" i="3"/>
  <c r="C38" i="7"/>
  <c r="D38" i="7" s="1"/>
  <c r="G37" i="7"/>
  <c r="I11" i="1"/>
  <c r="H42" i="11"/>
  <c r="K11" i="1" s="1"/>
  <c r="J36" i="11"/>
  <c r="J37" i="11" s="1"/>
  <c r="E13" i="1"/>
  <c r="F51" i="7"/>
  <c r="J19" i="12" l="1"/>
  <c r="J22" i="12" s="1"/>
  <c r="F13" i="1"/>
  <c r="F52" i="7"/>
  <c r="E38" i="7"/>
  <c r="K31" i="11"/>
  <c r="K29" i="11"/>
  <c r="K34" i="11"/>
  <c r="K32" i="11"/>
  <c r="C14" i="3"/>
  <c r="K30" i="11"/>
  <c r="K35" i="11"/>
  <c r="F10" i="2"/>
  <c r="H15" i="12"/>
  <c r="G26" i="12"/>
  <c r="G10" i="2" s="1"/>
  <c r="I12" i="1"/>
  <c r="I42" i="11"/>
  <c r="K12" i="1" s="1"/>
  <c r="J38" i="11"/>
  <c r="D13" i="3"/>
  <c r="E13" i="3" s="1"/>
  <c r="K16" i="12"/>
  <c r="K18" i="12" s="1"/>
  <c r="B13" i="1"/>
  <c r="C14" i="2" l="1"/>
  <c r="K36" i="11"/>
  <c r="E14" i="1"/>
  <c r="J41" i="11"/>
  <c r="G13" i="1"/>
  <c r="F14" i="3"/>
  <c r="G14" i="3" s="1"/>
  <c r="D14" i="1"/>
  <c r="K33" i="11"/>
  <c r="C14" i="1"/>
  <c r="B58" i="7"/>
  <c r="K37" i="11"/>
  <c r="J39" i="11"/>
  <c r="J13" i="1" s="1"/>
  <c r="D39" i="7"/>
  <c r="B39" i="7"/>
  <c r="E39" i="7" s="1"/>
  <c r="C39" i="7"/>
  <c r="L28" i="11"/>
  <c r="B15" i="3"/>
  <c r="G38" i="7"/>
  <c r="H24" i="12"/>
  <c r="B11" i="2"/>
  <c r="D13" i="2"/>
  <c r="J23" i="12"/>
  <c r="F14" i="1" l="1"/>
  <c r="K19" i="12"/>
  <c r="K22" i="12" s="1"/>
  <c r="I13" i="1"/>
  <c r="J42" i="11"/>
  <c r="K13" i="1" s="1"/>
  <c r="E13" i="2"/>
  <c r="J25" i="12"/>
  <c r="B16" i="3"/>
  <c r="M28" i="11"/>
  <c r="B40" i="7"/>
  <c r="C40" i="7"/>
  <c r="D40" i="7" s="1"/>
  <c r="G39" i="7"/>
  <c r="L31" i="11"/>
  <c r="L29" i="11"/>
  <c r="C15" i="3"/>
  <c r="L34" i="11"/>
  <c r="L32" i="11"/>
  <c r="L30" i="11"/>
  <c r="L35" i="11"/>
  <c r="B60" i="7"/>
  <c r="L16" i="12"/>
  <c r="L18" i="12" s="1"/>
  <c r="D14" i="3"/>
  <c r="E14" i="3" s="1"/>
  <c r="B14" i="1"/>
  <c r="K38" i="11"/>
  <c r="F11" i="2"/>
  <c r="I15" i="12"/>
  <c r="H26" i="12"/>
  <c r="G11" i="2" s="1"/>
  <c r="L36" i="11" l="1"/>
  <c r="E15" i="1"/>
  <c r="E40" i="7"/>
  <c r="K41" i="11"/>
  <c r="G14" i="1"/>
  <c r="C15" i="2"/>
  <c r="M29" i="11"/>
  <c r="M34" i="11"/>
  <c r="M30" i="11"/>
  <c r="C16" i="3"/>
  <c r="M31" i="11"/>
  <c r="M35" i="11"/>
  <c r="M32" i="11"/>
  <c r="K39" i="11"/>
  <c r="J14" i="1" s="1"/>
  <c r="L37" i="11"/>
  <c r="D14" i="2"/>
  <c r="K23" i="12"/>
  <c r="E14" i="2" s="1"/>
  <c r="F15" i="3"/>
  <c r="G15" i="3" s="1"/>
  <c r="D15" i="1"/>
  <c r="I24" i="12"/>
  <c r="B12" i="2"/>
  <c r="L33" i="11"/>
  <c r="C15" i="1"/>
  <c r="F12" i="2" l="1"/>
  <c r="J15" i="12"/>
  <c r="I26" i="12"/>
  <c r="G12" i="2" s="1"/>
  <c r="C16" i="1"/>
  <c r="M33" i="11"/>
  <c r="F16" i="3"/>
  <c r="G16" i="3" s="1"/>
  <c r="D16" i="1"/>
  <c r="M16" i="12"/>
  <c r="M18" i="12" s="1"/>
  <c r="L38" i="11"/>
  <c r="D15" i="3"/>
  <c r="E15" i="3" s="1"/>
  <c r="B15" i="1"/>
  <c r="M37" i="11"/>
  <c r="I14" i="1"/>
  <c r="K42" i="11"/>
  <c r="K14" i="1" s="1"/>
  <c r="AA28" i="11"/>
  <c r="B55" i="11" s="1"/>
  <c r="C41" i="7"/>
  <c r="D41" i="7" s="1"/>
  <c r="B17" i="3"/>
  <c r="B41" i="7"/>
  <c r="N28" i="11"/>
  <c r="C57" i="7"/>
  <c r="D57" i="7" s="1"/>
  <c r="E57" i="7" s="1"/>
  <c r="G40" i="7"/>
  <c r="M36" i="11"/>
  <c r="E16" i="1"/>
  <c r="K25" i="12"/>
  <c r="L19" i="12"/>
  <c r="L22" i="12" s="1"/>
  <c r="F15" i="1"/>
  <c r="L41" i="11" l="1"/>
  <c r="G15" i="1"/>
  <c r="N16" i="12"/>
  <c r="D16" i="3"/>
  <c r="E16" i="3" s="1"/>
  <c r="B16" i="1"/>
  <c r="M38" i="11"/>
  <c r="L39" i="11"/>
  <c r="J15" i="1" s="1"/>
  <c r="N31" i="11"/>
  <c r="N34" i="11"/>
  <c r="N35" i="11"/>
  <c r="AA35" i="11" s="1"/>
  <c r="N29" i="11"/>
  <c r="N30" i="11"/>
  <c r="N32" i="11"/>
  <c r="AA32" i="11" s="1"/>
  <c r="C17" i="3"/>
  <c r="B13" i="2"/>
  <c r="J24" i="12"/>
  <c r="F16" i="1"/>
  <c r="M19" i="12"/>
  <c r="M22" i="12" s="1"/>
  <c r="D15" i="2"/>
  <c r="L23" i="12"/>
  <c r="E15" i="2" s="1"/>
  <c r="L25" i="12"/>
  <c r="M25" i="12" s="1"/>
  <c r="M23" i="12"/>
  <c r="E16" i="2" s="1"/>
  <c r="C16" i="2"/>
  <c r="E41" i="7"/>
  <c r="B42" i="7" l="1"/>
  <c r="C42" i="7"/>
  <c r="D42" i="7" s="1"/>
  <c r="B18" i="3"/>
  <c r="O28" i="11"/>
  <c r="G41" i="7"/>
  <c r="D22" i="13"/>
  <c r="D23" i="13" s="1"/>
  <c r="D25" i="13" s="1"/>
  <c r="N33" i="11"/>
  <c r="C17" i="1"/>
  <c r="AA29" i="11"/>
  <c r="M41" i="11"/>
  <c r="G16" i="1"/>
  <c r="D17" i="1"/>
  <c r="F17" i="3"/>
  <c r="G17" i="3" s="1"/>
  <c r="AA30" i="11"/>
  <c r="D16" i="2"/>
  <c r="N18" i="12"/>
  <c r="AA16" i="12"/>
  <c r="N36" i="11"/>
  <c r="AA36" i="11" s="1"/>
  <c r="E17" i="1"/>
  <c r="AA31" i="11"/>
  <c r="M39" i="11"/>
  <c r="J16" i="1" s="1"/>
  <c r="F13" i="2"/>
  <c r="K15" i="12"/>
  <c r="J26" i="12"/>
  <c r="G13" i="2" s="1"/>
  <c r="N37" i="11"/>
  <c r="AA34" i="11"/>
  <c r="I15" i="1"/>
  <c r="L42" i="11"/>
  <c r="K15" i="1" s="1"/>
  <c r="O31" i="11" l="1"/>
  <c r="O29" i="11"/>
  <c r="O32" i="11"/>
  <c r="O30" i="11"/>
  <c r="C18" i="3"/>
  <c r="O34" i="11"/>
  <c r="O35" i="11"/>
  <c r="N19" i="12"/>
  <c r="F17" i="1"/>
  <c r="AA37" i="11"/>
  <c r="B49" i="11" s="1"/>
  <c r="I16" i="1"/>
  <c r="M42" i="11"/>
  <c r="K16" i="1" s="1"/>
  <c r="D8" i="13"/>
  <c r="N39" i="11"/>
  <c r="D17" i="3"/>
  <c r="E17" i="3" s="1"/>
  <c r="B17" i="1"/>
  <c r="N38" i="11"/>
  <c r="O16" i="12"/>
  <c r="AA33" i="11"/>
  <c r="B48" i="11" s="1"/>
  <c r="K24" i="12"/>
  <c r="B14" i="2"/>
  <c r="C17" i="2"/>
  <c r="AA18" i="12"/>
  <c r="B34" i="12" s="1"/>
  <c r="E42" i="7"/>
  <c r="B19" i="3" l="1"/>
  <c r="C43" i="7"/>
  <c r="D43" i="7" s="1"/>
  <c r="P28" i="11"/>
  <c r="B43" i="7"/>
  <c r="G42" i="7"/>
  <c r="J17" i="1"/>
  <c r="AA39" i="11"/>
  <c r="B51" i="11" s="1"/>
  <c r="F14" i="2"/>
  <c r="L15" i="12"/>
  <c r="K26" i="12"/>
  <c r="G14" i="2" s="1"/>
  <c r="O37" i="11"/>
  <c r="C18" i="1"/>
  <c r="O33" i="11"/>
  <c r="F18" i="3"/>
  <c r="G18" i="3" s="1"/>
  <c r="D18" i="1"/>
  <c r="O36" i="11"/>
  <c r="E18" i="1"/>
  <c r="O18" i="12"/>
  <c r="N22" i="12"/>
  <c r="AA19" i="12"/>
  <c r="N41" i="11"/>
  <c r="G17" i="1"/>
  <c r="AA38" i="11"/>
  <c r="B50" i="11" s="1"/>
  <c r="C18" i="2" l="1"/>
  <c r="E43" i="7"/>
  <c r="I17" i="1"/>
  <c r="AA41" i="11"/>
  <c r="B53" i="11" s="1"/>
  <c r="N42" i="11"/>
  <c r="D17" i="2"/>
  <c r="AA22" i="12"/>
  <c r="B35" i="12" s="1"/>
  <c r="N23" i="12"/>
  <c r="P31" i="11"/>
  <c r="P29" i="11"/>
  <c r="P34" i="11"/>
  <c r="P32" i="11"/>
  <c r="P30" i="11"/>
  <c r="C19" i="3"/>
  <c r="P35" i="11"/>
  <c r="F18" i="1"/>
  <c r="O19" i="12"/>
  <c r="D18" i="3"/>
  <c r="E18" i="3" s="1"/>
  <c r="P16" i="12"/>
  <c r="O38" i="11"/>
  <c r="B18" i="1"/>
  <c r="L24" i="12"/>
  <c r="B15" i="2"/>
  <c r="O41" i="11" l="1"/>
  <c r="G18" i="1"/>
  <c r="E17" i="2"/>
  <c r="AA23" i="12"/>
  <c r="B36" i="12" s="1"/>
  <c r="N25" i="12"/>
  <c r="O22" i="12"/>
  <c r="K17" i="1"/>
  <c r="AA42" i="11"/>
  <c r="B54" i="11" s="1"/>
  <c r="E29" i="13"/>
  <c r="E30" i="13" s="1"/>
  <c r="D29" i="13"/>
  <c r="D30" i="13" s="1"/>
  <c r="C19" i="1"/>
  <c r="P33" i="11"/>
  <c r="P18" i="12"/>
  <c r="C44" i="7"/>
  <c r="D44" i="7" s="1"/>
  <c r="B44" i="7"/>
  <c r="Q28" i="11"/>
  <c r="B20" i="3"/>
  <c r="G43" i="7"/>
  <c r="O39" i="11"/>
  <c r="P36" i="11"/>
  <c r="E19" i="1"/>
  <c r="F15" i="2"/>
  <c r="M15" i="12"/>
  <c r="L26" i="12"/>
  <c r="G15" i="2" s="1"/>
  <c r="F19" i="3"/>
  <c r="G19" i="3" s="1"/>
  <c r="D19" i="1"/>
  <c r="D19" i="3" l="1"/>
  <c r="E19" i="3" s="1"/>
  <c r="B19" i="1"/>
  <c r="Q16" i="12"/>
  <c r="J18" i="1"/>
  <c r="E44" i="7"/>
  <c r="C42" i="13"/>
  <c r="D32" i="13"/>
  <c r="Q29" i="11"/>
  <c r="Q34" i="11"/>
  <c r="Q32" i="11"/>
  <c r="Q30" i="11"/>
  <c r="Q35" i="11"/>
  <c r="C20" i="3"/>
  <c r="Q31" i="11"/>
  <c r="D18" i="2"/>
  <c r="O23" i="12"/>
  <c r="M24" i="12"/>
  <c r="B16" i="2"/>
  <c r="P37" i="11"/>
  <c r="P38" i="11" s="1"/>
  <c r="C19" i="2"/>
  <c r="I18" i="1"/>
  <c r="O42" i="11"/>
  <c r="AA25" i="12"/>
  <c r="G19" i="1" l="1"/>
  <c r="P41" i="11"/>
  <c r="P39" i="11"/>
  <c r="Q33" i="11"/>
  <c r="C20" i="1"/>
  <c r="Q37" i="11"/>
  <c r="F16" i="2"/>
  <c r="N15" i="12"/>
  <c r="M26" i="12"/>
  <c r="G16" i="2" s="1"/>
  <c r="E18" i="2"/>
  <c r="O25" i="12"/>
  <c r="Q18" i="12"/>
  <c r="Q36" i="11"/>
  <c r="E20" i="1"/>
  <c r="D20" i="1"/>
  <c r="F20" i="3"/>
  <c r="G20" i="3" s="1"/>
  <c r="P19" i="12"/>
  <c r="F19" i="1"/>
  <c r="B45" i="7"/>
  <c r="B21" i="3"/>
  <c r="D45" i="7"/>
  <c r="C45" i="7"/>
  <c r="R28" i="11"/>
  <c r="G44" i="7"/>
  <c r="K18" i="1"/>
  <c r="B17" i="2" l="1"/>
  <c r="AA15" i="12"/>
  <c r="N24" i="12"/>
  <c r="P22" i="12"/>
  <c r="Q19" i="12"/>
  <c r="Q22" i="12" s="1"/>
  <c r="F20" i="1"/>
  <c r="B20" i="1"/>
  <c r="D20" i="3"/>
  <c r="E20" i="3" s="1"/>
  <c r="Q38" i="11"/>
  <c r="R16" i="12"/>
  <c r="Q39" i="11"/>
  <c r="J20" i="1" s="1"/>
  <c r="J19" i="1"/>
  <c r="R34" i="11"/>
  <c r="R32" i="11"/>
  <c r="R30" i="11"/>
  <c r="R35" i="11"/>
  <c r="R31" i="11"/>
  <c r="C21" i="3"/>
  <c r="R29" i="11"/>
  <c r="E45" i="7"/>
  <c r="I19" i="1"/>
  <c r="P42" i="11"/>
  <c r="Q23" i="12"/>
  <c r="E20" i="2" s="1"/>
  <c r="C20" i="2"/>
  <c r="D20" i="2" l="1"/>
  <c r="R18" i="12"/>
  <c r="K19" i="1"/>
  <c r="AA24" i="12"/>
  <c r="D7" i="13"/>
  <c r="B37" i="12"/>
  <c r="F17" i="2"/>
  <c r="O15" i="12"/>
  <c r="N26" i="12"/>
  <c r="G20" i="1"/>
  <c r="Q41" i="11"/>
  <c r="R33" i="11"/>
  <c r="C21" i="1"/>
  <c r="D19" i="2"/>
  <c r="P23" i="12"/>
  <c r="B46" i="7"/>
  <c r="C46" i="7"/>
  <c r="D46" i="7" s="1"/>
  <c r="S28" i="11"/>
  <c r="B22" i="3"/>
  <c r="G45" i="7"/>
  <c r="E21" i="1"/>
  <c r="R36" i="11"/>
  <c r="F21" i="3"/>
  <c r="G21" i="3" s="1"/>
  <c r="D21" i="1"/>
  <c r="R37" i="11"/>
  <c r="S30" i="11" l="1"/>
  <c r="S35" i="11"/>
  <c r="S29" i="11"/>
  <c r="S31" i="11"/>
  <c r="S32" i="11"/>
  <c r="S34" i="11"/>
  <c r="C22" i="3"/>
  <c r="C43" i="13"/>
  <c r="D10" i="13"/>
  <c r="I20" i="1"/>
  <c r="Q42" i="11"/>
  <c r="G17" i="2"/>
  <c r="AA26" i="12"/>
  <c r="O24" i="12"/>
  <c r="B18" i="2"/>
  <c r="R19" i="12"/>
  <c r="F21" i="1"/>
  <c r="C21" i="2"/>
  <c r="E46" i="7"/>
  <c r="E19" i="2"/>
  <c r="P25" i="12"/>
  <c r="Q25" i="12" s="1"/>
  <c r="D21" i="3"/>
  <c r="E21" i="3" s="1"/>
  <c r="R39" i="11"/>
  <c r="B21" i="1"/>
  <c r="R38" i="11"/>
  <c r="S16" i="12"/>
  <c r="D17" i="13" l="1"/>
  <c r="D34" i="13" s="1"/>
  <c r="C41" i="13"/>
  <c r="J21" i="1"/>
  <c r="B47" i="7"/>
  <c r="T28" i="11"/>
  <c r="C47" i="7"/>
  <c r="D47" i="7" s="1"/>
  <c r="B23" i="3"/>
  <c r="G46" i="7"/>
  <c r="K20" i="1"/>
  <c r="S37" i="11"/>
  <c r="E22" i="1"/>
  <c r="S36" i="11"/>
  <c r="S33" i="11"/>
  <c r="C22" i="1"/>
  <c r="F18" i="2"/>
  <c r="P15" i="12"/>
  <c r="O26" i="12"/>
  <c r="G18" i="2" s="1"/>
  <c r="S18" i="12"/>
  <c r="R41" i="11"/>
  <c r="G21" i="1"/>
  <c r="R22" i="12"/>
  <c r="F22" i="3"/>
  <c r="G22" i="3" s="1"/>
  <c r="D22" i="1"/>
  <c r="S19" i="12" l="1"/>
  <c r="F22" i="1"/>
  <c r="C22" i="2"/>
  <c r="E47" i="7"/>
  <c r="S38" i="11"/>
  <c r="T16" i="12"/>
  <c r="T18" i="12" s="1"/>
  <c r="D22" i="3"/>
  <c r="E22" i="3" s="1"/>
  <c r="S39" i="11"/>
  <c r="B22" i="1"/>
  <c r="D21" i="2"/>
  <c r="R23" i="12"/>
  <c r="I21" i="1"/>
  <c r="R42" i="11"/>
  <c r="T32" i="11"/>
  <c r="T35" i="11"/>
  <c r="C23" i="3"/>
  <c r="T34" i="11"/>
  <c r="T30" i="11"/>
  <c r="T31" i="11"/>
  <c r="T29" i="11"/>
  <c r="B19" i="2"/>
  <c r="P24" i="12"/>
  <c r="F23" i="3" l="1"/>
  <c r="G23" i="3" s="1"/>
  <c r="D23" i="1"/>
  <c r="J22" i="1"/>
  <c r="K21" i="1"/>
  <c r="T33" i="11"/>
  <c r="C23" i="1"/>
  <c r="T36" i="11"/>
  <c r="T37" i="11" s="1"/>
  <c r="E23" i="1"/>
  <c r="B24" i="3"/>
  <c r="U28" i="11"/>
  <c r="B48" i="7"/>
  <c r="C48" i="7"/>
  <c r="D48" i="7" s="1"/>
  <c r="G47" i="7"/>
  <c r="S22" i="12"/>
  <c r="E21" i="2"/>
  <c r="R25" i="12"/>
  <c r="C23" i="2"/>
  <c r="G22" i="1"/>
  <c r="S41" i="11"/>
  <c r="Q15" i="12"/>
  <c r="F19" i="2"/>
  <c r="P26" i="12"/>
  <c r="G19" i="2" s="1"/>
  <c r="T19" i="12" l="1"/>
  <c r="T22" i="12" s="1"/>
  <c r="F23" i="1"/>
  <c r="I22" i="1"/>
  <c r="S42" i="11"/>
  <c r="Q24" i="12"/>
  <c r="B20" i="2"/>
  <c r="T38" i="11"/>
  <c r="D23" i="3"/>
  <c r="E23" i="3" s="1"/>
  <c r="B23" i="1"/>
  <c r="U16" i="12"/>
  <c r="U18" i="12" s="1"/>
  <c r="T39" i="11"/>
  <c r="J23" i="1" s="1"/>
  <c r="E48" i="7"/>
  <c r="U32" i="11"/>
  <c r="U30" i="11"/>
  <c r="C24" i="3"/>
  <c r="U34" i="11"/>
  <c r="U31" i="11"/>
  <c r="U35" i="11"/>
  <c r="U29" i="11"/>
  <c r="D22" i="2"/>
  <c r="S23" i="12"/>
  <c r="S25" i="12"/>
  <c r="C24" i="2" l="1"/>
  <c r="K22" i="1"/>
  <c r="E22" i="2"/>
  <c r="U33" i="11"/>
  <c r="C24" i="1"/>
  <c r="U37" i="11"/>
  <c r="T25" i="12"/>
  <c r="G23" i="1"/>
  <c r="T41" i="11"/>
  <c r="R15" i="12"/>
  <c r="F20" i="2"/>
  <c r="Q26" i="12"/>
  <c r="G20" i="2" s="1"/>
  <c r="E24" i="1"/>
  <c r="U36" i="11"/>
  <c r="F24" i="3"/>
  <c r="G24" i="3" s="1"/>
  <c r="D24" i="1"/>
  <c r="V28" i="11"/>
  <c r="C49" i="7"/>
  <c r="D49" i="7" s="1"/>
  <c r="B25" i="3"/>
  <c r="B49" i="7"/>
  <c r="G48" i="7"/>
  <c r="D23" i="2"/>
  <c r="T23" i="12"/>
  <c r="E23" i="2" s="1"/>
  <c r="F24" i="1" l="1"/>
  <c r="U19" i="12"/>
  <c r="U22" i="12" s="1"/>
  <c r="U38" i="11"/>
  <c r="D24" i="3"/>
  <c r="E24" i="3" s="1"/>
  <c r="B24" i="1"/>
  <c r="V16" i="12"/>
  <c r="V18" i="12" s="1"/>
  <c r="U39" i="11"/>
  <c r="J24" i="1" s="1"/>
  <c r="I23" i="1"/>
  <c r="T42" i="11"/>
  <c r="K23" i="1" s="1"/>
  <c r="B21" i="2"/>
  <c r="R24" i="12"/>
  <c r="E49" i="7"/>
  <c r="V32" i="11"/>
  <c r="V30" i="11"/>
  <c r="V35" i="11"/>
  <c r="V31" i="11"/>
  <c r="V34" i="11"/>
  <c r="C25" i="3"/>
  <c r="V29" i="11"/>
  <c r="S15" i="12" l="1"/>
  <c r="F21" i="2"/>
  <c r="R26" i="12"/>
  <c r="G21" i="2" s="1"/>
  <c r="V33" i="11"/>
  <c r="C25" i="1"/>
  <c r="U41" i="11"/>
  <c r="G24" i="1"/>
  <c r="E25" i="1"/>
  <c r="V36" i="11"/>
  <c r="V37" i="11" s="1"/>
  <c r="D25" i="1"/>
  <c r="F25" i="3"/>
  <c r="G25" i="3" s="1"/>
  <c r="C25" i="2"/>
  <c r="D24" i="2"/>
  <c r="U23" i="12"/>
  <c r="B50" i="7"/>
  <c r="W28" i="11"/>
  <c r="B26" i="3"/>
  <c r="C50" i="7"/>
  <c r="D50" i="7" s="1"/>
  <c r="G49" i="7"/>
  <c r="V19" i="12" l="1"/>
  <c r="V22" i="12" s="1"/>
  <c r="F25" i="1"/>
  <c r="W30" i="11"/>
  <c r="W35" i="11"/>
  <c r="W29" i="11"/>
  <c r="W34" i="11"/>
  <c r="W31" i="11"/>
  <c r="C26" i="3"/>
  <c r="W32" i="11"/>
  <c r="E50" i="7"/>
  <c r="I24" i="1"/>
  <c r="U42" i="11"/>
  <c r="K24" i="1" s="1"/>
  <c r="V38" i="11"/>
  <c r="W16" i="12"/>
  <c r="W18" i="12" s="1"/>
  <c r="B25" i="1"/>
  <c r="D25" i="3"/>
  <c r="E25" i="3" s="1"/>
  <c r="E24" i="2"/>
  <c r="U25" i="12"/>
  <c r="S24" i="12"/>
  <c r="B22" i="2"/>
  <c r="V41" i="11" l="1"/>
  <c r="G25" i="1"/>
  <c r="C26" i="2"/>
  <c r="W36" i="11"/>
  <c r="W37" i="11" s="1"/>
  <c r="E26" i="1"/>
  <c r="D51" i="7"/>
  <c r="B27" i="3"/>
  <c r="C51" i="7"/>
  <c r="B51" i="7"/>
  <c r="E51" i="7" s="1"/>
  <c r="X28" i="11"/>
  <c r="G50" i="7"/>
  <c r="T15" i="12"/>
  <c r="F22" i="2"/>
  <c r="S26" i="12"/>
  <c r="G22" i="2" s="1"/>
  <c r="F26" i="3"/>
  <c r="G26" i="3" s="1"/>
  <c r="D26" i="1"/>
  <c r="W33" i="11"/>
  <c r="C26" i="1"/>
  <c r="V39" i="11"/>
  <c r="J25" i="1" s="1"/>
  <c r="D25" i="2"/>
  <c r="V23" i="12"/>
  <c r="E25" i="2" s="1"/>
  <c r="F26" i="1" l="1"/>
  <c r="W19" i="12"/>
  <c r="W22" i="12" s="1"/>
  <c r="X35" i="11"/>
  <c r="X34" i="11"/>
  <c r="X32" i="11"/>
  <c r="X30" i="11"/>
  <c r="X31" i="11"/>
  <c r="C27" i="3"/>
  <c r="X29" i="11"/>
  <c r="Y28" i="11"/>
  <c r="C52" i="7"/>
  <c r="C59" i="7" s="1"/>
  <c r="D59" i="7" s="1"/>
  <c r="B52" i="7"/>
  <c r="B28" i="3"/>
  <c r="G51" i="7"/>
  <c r="V25" i="12"/>
  <c r="D26" i="3"/>
  <c r="E26" i="3" s="1"/>
  <c r="X16" i="12"/>
  <c r="X18" i="12" s="1"/>
  <c r="B26" i="1"/>
  <c r="W38" i="11"/>
  <c r="W39" i="11"/>
  <c r="J26" i="1" s="1"/>
  <c r="T24" i="12"/>
  <c r="B23" i="2"/>
  <c r="I25" i="1"/>
  <c r="V42" i="11"/>
  <c r="K25" i="1" s="1"/>
  <c r="U15" i="12" l="1"/>
  <c r="F23" i="2"/>
  <c r="T26" i="12"/>
  <c r="G23" i="2" s="1"/>
  <c r="X33" i="11"/>
  <c r="C27" i="1"/>
  <c r="X36" i="11"/>
  <c r="X37" i="11" s="1"/>
  <c r="E27" i="1"/>
  <c r="F27" i="3"/>
  <c r="G27" i="3" s="1"/>
  <c r="D27" i="1"/>
  <c r="D52" i="7"/>
  <c r="E52" i="7" s="1"/>
  <c r="Y31" i="11"/>
  <c r="C28" i="3"/>
  <c r="Y30" i="11"/>
  <c r="Y34" i="11"/>
  <c r="Y35" i="11"/>
  <c r="Y29" i="11"/>
  <c r="Y32" i="11"/>
  <c r="D26" i="2"/>
  <c r="W23" i="12"/>
  <c r="E26" i="2" s="1"/>
  <c r="W41" i="11"/>
  <c r="G26" i="1"/>
  <c r="C27" i="2"/>
  <c r="W25" i="12"/>
  <c r="Z28" i="11" l="1"/>
  <c r="B29" i="3"/>
  <c r="AB28" i="11"/>
  <c r="C55" i="11" s="1"/>
  <c r="C58" i="7"/>
  <c r="G52" i="7"/>
  <c r="X19" i="12"/>
  <c r="X22" i="12" s="1"/>
  <c r="F27" i="1"/>
  <c r="I26" i="1"/>
  <c r="W42" i="11"/>
  <c r="K26" i="1" s="1"/>
  <c r="Y37" i="11"/>
  <c r="B24" i="2"/>
  <c r="U24" i="12"/>
  <c r="Y36" i="11"/>
  <c r="E28" i="1"/>
  <c r="X38" i="11"/>
  <c r="Y16" i="12"/>
  <c r="Y18" i="12" s="1"/>
  <c r="D27" i="3"/>
  <c r="E27" i="3" s="1"/>
  <c r="B27" i="1"/>
  <c r="Y33" i="11"/>
  <c r="C28" i="1"/>
  <c r="D28" i="1"/>
  <c r="F28" i="3"/>
  <c r="G28" i="3" s="1"/>
  <c r="X41" i="11" l="1"/>
  <c r="G27" i="1"/>
  <c r="Y19" i="12"/>
  <c r="Y22" i="12" s="1"/>
  <c r="D28" i="2" s="1"/>
  <c r="F28" i="1"/>
  <c r="C60" i="7"/>
  <c r="D60" i="7" s="1"/>
  <c r="E60" i="7" s="1"/>
  <c r="D58" i="7"/>
  <c r="E58" i="7" s="1"/>
  <c r="V15" i="12"/>
  <c r="F24" i="2"/>
  <c r="U26" i="12"/>
  <c r="G24" i="2" s="1"/>
  <c r="B28" i="1"/>
  <c r="Y38" i="11"/>
  <c r="Y39" i="11" s="1"/>
  <c r="J28" i="1" s="1"/>
  <c r="Z16" i="12"/>
  <c r="D28" i="3"/>
  <c r="E28" i="3" s="1"/>
  <c r="X39" i="11"/>
  <c r="J27" i="1" s="1"/>
  <c r="D27" i="2"/>
  <c r="X23" i="12"/>
  <c r="C28" i="2"/>
  <c r="Y23" i="12"/>
  <c r="E28" i="2" s="1"/>
  <c r="Z31" i="11"/>
  <c r="Z29" i="11"/>
  <c r="Z35" i="11"/>
  <c r="AB35" i="11" s="1"/>
  <c r="Z30" i="11"/>
  <c r="Z34" i="11"/>
  <c r="Z32" i="11"/>
  <c r="AB32" i="11" s="1"/>
  <c r="C29" i="3"/>
  <c r="Y41" i="11" l="1"/>
  <c r="G28" i="1"/>
  <c r="E27" i="2"/>
  <c r="X25" i="12"/>
  <c r="Y25" i="12" s="1"/>
  <c r="Z33" i="11"/>
  <c r="E22" i="13"/>
  <c r="E23" i="13" s="1"/>
  <c r="E25" i="13" s="1"/>
  <c r="C29" i="1"/>
  <c r="AB29" i="11"/>
  <c r="F29" i="3"/>
  <c r="G29" i="3" s="1"/>
  <c r="D29" i="1"/>
  <c r="AB30" i="11"/>
  <c r="Z18" i="12"/>
  <c r="AB16" i="12"/>
  <c r="V24" i="12"/>
  <c r="B25" i="2"/>
  <c r="Z36" i="11"/>
  <c r="AB36" i="11" s="1"/>
  <c r="E29" i="1"/>
  <c r="AB31" i="11"/>
  <c r="AB34" i="11"/>
  <c r="I27" i="1"/>
  <c r="X42" i="11"/>
  <c r="K27" i="1" s="1"/>
  <c r="D42" i="13" l="1"/>
  <c r="E32" i="13"/>
  <c r="E8" i="13"/>
  <c r="D29" i="3"/>
  <c r="E29" i="3" s="1"/>
  <c r="B29" i="1"/>
  <c r="AB33" i="11"/>
  <c r="C29" i="2"/>
  <c r="AB18" i="12"/>
  <c r="Z37" i="11"/>
  <c r="W15" i="12"/>
  <c r="F25" i="2"/>
  <c r="V26" i="12"/>
  <c r="G25" i="2" s="1"/>
  <c r="I28" i="1"/>
  <c r="Y42" i="11"/>
  <c r="K28" i="1" s="1"/>
  <c r="W24" i="12" l="1"/>
  <c r="B26" i="2"/>
  <c r="Z19" i="12"/>
  <c r="F29" i="1"/>
  <c r="AB37" i="11"/>
  <c r="C49" i="11" s="1"/>
  <c r="Z38" i="11"/>
  <c r="Z22" i="12" l="1"/>
  <c r="AB19" i="12"/>
  <c r="Z41" i="11"/>
  <c r="G29" i="1"/>
  <c r="AB38" i="11"/>
  <c r="Z39" i="11"/>
  <c r="F26" i="2"/>
  <c r="X15" i="12"/>
  <c r="W26" i="12"/>
  <c r="G26" i="2" s="1"/>
  <c r="J29" i="1" l="1"/>
  <c r="AB39" i="11"/>
  <c r="C51" i="11" s="1"/>
  <c r="X24" i="12"/>
  <c r="B27" i="2"/>
  <c r="I29" i="1"/>
  <c r="AB41" i="11"/>
  <c r="Z42" i="11"/>
  <c r="D29" i="2"/>
  <c r="AB22" i="12"/>
  <c r="Z23" i="12"/>
  <c r="E29" i="2" l="1"/>
  <c r="AB23" i="12"/>
  <c r="B38" i="12" s="1"/>
  <c r="Z25" i="12"/>
  <c r="AB25" i="12" s="1"/>
  <c r="F27" i="2"/>
  <c r="Y15" i="12"/>
  <c r="X26" i="12"/>
  <c r="G27" i="2" s="1"/>
  <c r="K29" i="1"/>
  <c r="AB42" i="11"/>
  <c r="C54" i="11" s="1"/>
  <c r="Y24" i="12" l="1"/>
  <c r="B28" i="2"/>
  <c r="F28" i="2" l="1"/>
  <c r="Z15" i="12"/>
  <c r="Y26" i="12"/>
  <c r="G28" i="2" s="1"/>
  <c r="B29" i="2" l="1"/>
  <c r="AB15" i="12"/>
  <c r="Z24" i="12"/>
  <c r="AB24" i="12" l="1"/>
  <c r="E7" i="13"/>
  <c r="B39" i="12"/>
  <c r="F29" i="2"/>
  <c r="Z26" i="12"/>
  <c r="D43" i="13" l="1"/>
  <c r="E10" i="13"/>
  <c r="G29" i="2"/>
  <c r="AB26" i="12"/>
  <c r="E17" i="13" l="1"/>
  <c r="E34" i="13" s="1"/>
  <c r="D41" i="13"/>
</calcChain>
</file>

<file path=xl/sharedStrings.xml><?xml version="1.0" encoding="utf-8"?>
<sst xmlns="http://schemas.openxmlformats.org/spreadsheetml/2006/main" count="1870" uniqueCount="1213">
  <si>
    <t>VELOCITYMATCH - P&amp;L DASHBOARD</t>
  </si>
  <si>
    <t>24-Month Financial Performance</t>
  </si>
  <si>
    <t>Month</t>
  </si>
  <si>
    <t>Total Revenue</t>
  </si>
  <si>
    <t>Matching Engine</t>
  </si>
  <si>
    <t>Placements</t>
  </si>
  <si>
    <t>Add-ons</t>
  </si>
  <si>
    <t>COGS</t>
  </si>
  <si>
    <t>Gross Profit</t>
  </si>
  <si>
    <t>OpEx</t>
  </si>
  <si>
    <t>Net Profit</t>
  </si>
  <si>
    <t>Gross Margin %</t>
  </si>
  <si>
    <t>Net Margin %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</si>
  <si>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</si>
  <si>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</si>
  <si>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</si>
  <si>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</si>
  <si>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</si>
  <si>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</si>
  <si>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</si>
  <si>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</si>
  <si>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</si>
  <si>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</si>
  <si>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</si>
  <si>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</si>
  <si>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</si>
  <si>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</si>
  <si>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</si>
  <si>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</si>
  <si>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</si>
  <si>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</si>
  <si>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</si>
  <si>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</si>
  <si>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</si>
  <si>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</si>
  <si>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</si>
  <si>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</si>
  <si>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Data validation: Dashboard linked to P&amp;L with churn-adjusted carriers</t>
  </si>
  <si>
    <t>VELOCITYMATCH - CASH FLOW DASHBOARD</t>
  </si>
  <si>
    <t>Cash Position &amp; Runway Analysis</t>
  </si>
  <si>
    <t>Beginning Cash</t>
  </si>
  <si>
    <t>Cash Inflows</t>
  </si>
  <si>
    <t>Cash Outflows</t>
  </si>
  <si>
    <t>Net Cash Flow</t>
  </si>
  <si>
    <t>Ending Cash</t>
  </si>
  <si>
    <t>Runway (Months)</t>
  </si>
  <si>
    <t>Data validation: Dashboard linked to Cash Flow projections</t>
  </si>
  <si>
    <t>VELOCITYMATCH - GROWTH METRICS DASHBOARD</t>
  </si>
  <si>
    <t>Customer Acquisition &amp; Revenue Performance</t>
  </si>
  <si>
    <t>Active Carriers</t>
  </si>
  <si>
    <t>New Carriers</t>
  </si>
  <si>
    <t>Revenue/Carrier</t>
  </si>
  <si>
    <t>Placements/Carrier</t>
  </si>
  <si>
    <t>Data validation: Carrier counts now reflect churn impact</t>
  </si>
  <si>
    <t>VELOCITYMATCH - SCENARIO ANALYSIS</t>
  </si>
  <si>
    <t>Best Case / Base Case / Worst Case Projections | Yellow cells are adjustable inputs</t>
  </si>
  <si>
    <t>SCENARIO PARAMETERS</t>
  </si>
  <si>
    <t>Parameter</t>
  </si>
  <si>
    <t>Worst Case</t>
  </si>
  <si>
    <t>Base Case</t>
  </si>
  <si>
    <t>Best Case</t>
  </si>
  <si>
    <t>Pessimistic</t>
  </si>
  <si>
    <t>Recession</t>
  </si>
  <si>
    <t>Unit</t>
  </si>
  <si>
    <t>Notes</t>
  </si>
  <si>
    <t>Starting Carriers</t>
  </si>
  <si>
    <t>carriers</t>
  </si>
  <si>
    <t>Initial beta customers</t>
  </si>
  <si>
    <t>Monthly Growth Y1</t>
  </si>
  <si>
    <t>%</t>
  </si>
  <si>
    <t>Month-over-month growth</t>
  </si>
  <si>
    <t>Monthly Growth Y2</t>
  </si>
  <si>
    <t>Scaling phase growth</t>
  </si>
  <si>
    <t>Monthly Churn Y1</t>
  </si>
  <si>
    <t>Customer attrition</t>
  </si>
  <si>
    <t>Monthly Churn Y2</t>
  </si>
  <si>
    <t>Improved retention</t>
  </si>
  <si>
    <t>placements</t>
  </si>
  <si>
    <t>Average monthly placements</t>
  </si>
  <si>
    <t>Add-on Attach Rate</t>
  </si>
  <si>
    <t>Cross-sell success</t>
  </si>
  <si>
    <t>Placement Fee</t>
  </si>
  <si>
    <t>$</t>
  </si>
  <si>
    <t>Per-hire pricing</t>
  </si>
  <si>
    <t>Matching Engine Fee</t>
  </si>
  <si>
    <t>$/month</t>
  </si>
  <si>
    <t>Core subscription</t>
  </si>
  <si>
    <t>SCENARIO OUTPUTS - 24 MONTH PROJECTIONS</t>
  </si>
  <si>
    <t>Metric</t>
  </si>
  <si>
    <t>Y1 Ending Carriers</t>
  </si>
  <si>
    <t>Net of growth and churn</t>
  </si>
  <si>
    <t>Y2 Ending Carriers</t>
  </si>
  <si>
    <t>Second year projection</t>
  </si>
  <si>
    <t>Y1 Total Revenue</t>
  </si>
  <si>
    <t>Subscription + Placements + Add-ons</t>
  </si>
  <si>
    <t>Y2 Total Revenue</t>
  </si>
  <si>
    <t>Second year revenue</t>
  </si>
  <si>
    <t>24-Month Total Revenue</t>
  </si>
  <si>
    <t>Combined two-year revenue</t>
  </si>
  <si>
    <t>Y1 Monthly Burn Rate</t>
  </si>
  <si>
    <t>Operating expenses (estimate)</t>
  </si>
  <si>
    <t>Runway Required (months)</t>
  </si>
  <si>
    <t>Capital needed pre-profitability</t>
  </si>
  <si>
    <t>BREAKEVEN ANALYSIS</t>
  </si>
  <si>
    <t>Scenario</t>
  </si>
  <si>
    <t>Est. Breakeven Month</t>
  </si>
  <si>
    <t>Monthly Revenue at BE</t>
  </si>
  <si>
    <t>Confidence Level</t>
  </si>
  <si>
    <t>Low (20%)</t>
  </si>
  <si>
    <t>Medium (60%)</t>
  </si>
  <si>
    <t>Aspirational (20%)</t>
  </si>
  <si>
    <t>VELOCITYMATCH - PLATFORM ROADMAP</t>
  </si>
  <si>
    <t>11-Layer Technology Stack Evolution (8 Core + 3 Expansion)</t>
  </si>
  <si>
    <t>Layer</t>
  </si>
  <si>
    <t>Name</t>
  </si>
  <si>
    <t>Description</t>
  </si>
  <si>
    <t>Key Features</t>
  </si>
  <si>
    <t>Revenue Streams</t>
  </si>
  <si>
    <t>Timeline</t>
  </si>
  <si>
    <t>Investment</t>
  </si>
  <si>
    <t>AI Matching Engine</t>
  </si>
  <si>
    <t>Core driver-carrier matching algorithm</t>
  </si>
  <si>
    <t>ML matching, skill analysis, preference learning</t>
  </si>
  <si>
    <t>Per-Hire Fees, Matching Subscriptions, Usage-Based Credits</t>
  </si>
  <si>
    <t>M1-M6 (MVP)</t>
  </si>
  <si>
    <t>$187K</t>
  </si>
  <si>
    <t>Data &amp; Intelligence</t>
  </si>
  <si>
    <t>Monetizable insights and data services</t>
  </si>
  <si>
    <t>Market analytics, compensation benchmarking, turnover prediction</t>
  </si>
  <si>
    <t>Intelligence Subscriptions, API Access, Data Licenses</t>
  </si>
  <si>
    <t>M7-M12</t>
  </si>
  <si>
    <t>$150K</t>
  </si>
  <si>
    <t>Brokerage Automation</t>
  </si>
  <si>
    <t>Automates freight brokerage tasks</t>
  </si>
  <si>
    <t>Automated driver-carrier matching for freight brokers</t>
  </si>
  <si>
    <t>Per-Load Fees, Booking Fees, Automation Add-Ons</t>
  </si>
  <si>
    <t>M10-M15</t>
  </si>
  <si>
    <t>$175K</t>
  </si>
  <si>
    <t>Operations Automation</t>
  </si>
  <si>
    <t>Automates daily fleet and dispatch operations</t>
  </si>
  <si>
    <t>DQ file compliance, onboarding workflows, document mgmt</t>
  </si>
  <si>
    <t>Fleet SaaS Subscriptions, Workflow Automation, Predictive Maintenance</t>
  </si>
  <si>
    <t>M12-M18</t>
  </si>
  <si>
    <t>$200K</t>
  </si>
  <si>
    <t>Application Suite</t>
  </si>
  <si>
    <t>Interfaces for shippers, carriers, drivers, and recruiters</t>
  </si>
  <si>
    <t>Mobile apps, web dashboards, recruiter tools</t>
  </si>
  <si>
    <t>SaaS Subscriptions, LMS Seats, Training Modules</t>
  </si>
  <si>
    <t>M15-M21</t>
  </si>
  <si>
    <t>$225K</t>
  </si>
  <si>
    <t>Integrations</t>
  </si>
  <si>
    <t>Connections to TMS, ELDs, factoring, robotics, load boards</t>
  </si>
  <si>
    <t>API connections, data sync, webhook events</t>
  </si>
  <si>
    <t>Integration Fees, API Usage, Enterprise Implementation</t>
  </si>
  <si>
    <t>M18-M24</t>
  </si>
  <si>
    <t>$250K</t>
  </si>
  <si>
    <t>Analytics &amp; Telematics</t>
  </si>
  <si>
    <t>Insights, behavior monitoring, performance dashboards</t>
  </si>
  <si>
    <t>ELD data ingestion, safety scores, driver behavior analytics</t>
  </si>
  <si>
    <t>Analytics Subscriptions, KPI Dashboards, Predictive Maintenance Intelligence</t>
  </si>
  <si>
    <t>M21-M30</t>
  </si>
  <si>
    <t>$400K</t>
  </si>
  <si>
    <t>Enterprise Control Layer</t>
  </si>
  <si>
    <t>Admin tools for billing, permissions, workflows</t>
  </si>
  <si>
    <t>Multi-location mgmt, SSO, admin controls, white-label</t>
  </si>
  <si>
    <t>Enterprise SaaS, Admin Add-Ons, Multi-Tenant Licensing</t>
  </si>
  <si>
    <t>M24-M36</t>
  </si>
  <si>
    <t>$500K</t>
  </si>
  <si>
    <t>Marketplace Platform</t>
  </si>
  <si>
    <t>Two-sided marketplace for drivers and carriers</t>
  </si>
  <si>
    <t>Carrier lead swap, Driver profiles, carrier listings, real-time availability matching</t>
  </si>
  <si>
    <t>Platform Fees, Premium Listings, Featured Placements</t>
  </si>
  <si>
    <t>M30-M42</t>
  </si>
  <si>
    <t>$600K</t>
  </si>
  <si>
    <t>Financial Services</t>
  </si>
  <si>
    <t>Embedded fintech for trucking ecosystem</t>
  </si>
  <si>
    <t>Factoring partnerships, fuel cards, equipment financing, insurance</t>
  </si>
  <si>
    <t>Referral Fees, Revenue Share, Embedded Finance Margins</t>
  </si>
  <si>
    <t>M36-M48</t>
  </si>
  <si>
    <t>$750K</t>
  </si>
  <si>
    <t>Network Effects Platform</t>
  </si>
  <si>
    <t>Multi-carrier coordination and capacity sharing</t>
  </si>
  <si>
    <t>Load sharing, driver pools, capacity networks, surge pricing</t>
  </si>
  <si>
    <t>Transaction Fees, Network Subscriptions, Capacity Premiums</t>
  </si>
  <si>
    <t>M42-M54</t>
  </si>
  <si>
    <t>$900K</t>
  </si>
  <si>
    <t>INVESTMENT SUMMARY BY PHASE</t>
  </si>
  <si>
    <t>Phase</t>
  </si>
  <si>
    <t>Layers</t>
  </si>
  <si>
    <t>Total Investment</t>
  </si>
  <si>
    <t>Cumulative ARR Target</t>
  </si>
  <si>
    <t>Seed (Current)</t>
  </si>
  <si>
    <t>1</t>
  </si>
  <si>
    <t>M1-M6</t>
  </si>
  <si>
    <t>Series A</t>
  </si>
  <si>
    <t>2-4</t>
  </si>
  <si>
    <t>$2M</t>
  </si>
  <si>
    <t>M7-M18</t>
  </si>
  <si>
    <t>Series B</t>
  </si>
  <si>
    <t>5-8</t>
  </si>
  <si>
    <t>$10M</t>
  </si>
  <si>
    <t>M15-M36</t>
  </si>
  <si>
    <t>Series C</t>
  </si>
  <si>
    <t>9-10</t>
  </si>
  <si>
    <t>$30M</t>
  </si>
  <si>
    <t>M30-M48</t>
  </si>
  <si>
    <t>Growth</t>
  </si>
  <si>
    <t>$75M+</t>
  </si>
  <si>
    <t>LEGEND</t>
  </si>
  <si>
    <t>Green = Current Focus (Layer 1)</t>
  </si>
  <si>
    <t>Blue = Official Roadmap (Layers 2-8)</t>
  </si>
  <si>
    <t>Orange = Expansion Layers (Layers 9-11)</t>
  </si>
  <si>
    <t>TOTAL PLATFORM INVESTMENT:</t>
  </si>
  <si>
    <t>VELOCITYMATCH LAYER 1 - FINANCIAL MODEL ASSUMPTIONS</t>
  </si>
  <si>
    <t>AI Matching Engine Revenue Model</t>
  </si>
  <si>
    <t>Generated: December 17, 2025</t>
  </si>
  <si>
    <t>Category</t>
  </si>
  <si>
    <t>Assumption</t>
  </si>
  <si>
    <t>Value</t>
  </si>
  <si>
    <t>REVENUE MODEL</t>
  </si>
  <si>
    <t>Placement Pricing</t>
  </si>
  <si>
    <t>Per-Hire Placement Fee</t>
  </si>
  <si>
    <t>Core revenue per successful driver placement</t>
  </si>
  <si>
    <t>Setup Fee (One-Time)</t>
  </si>
  <si>
    <t>Initial carrier onboarding fee (included in placement)</t>
  </si>
  <si>
    <t>Net Revenue per Placement</t>
  </si>
  <si>
    <t>Total revenue per completed placement</t>
  </si>
  <si>
    <t>Matching Engine Subscription</t>
  </si>
  <si>
    <t>Core subscription fee for AI matching platform</t>
  </si>
  <si>
    <t>MARKET &amp; GROWTH</t>
  </si>
  <si>
    <t>Market Size</t>
  </si>
  <si>
    <t>Total US CDL Drivers</t>
  </si>
  <si>
    <t>drivers</t>
  </si>
  <si>
    <t>Addressable market (ATA 2024 data)</t>
  </si>
  <si>
    <t>Annual Driver Turnover</t>
  </si>
  <si>
    <t>Industry turnover rate (ATRI 2024)</t>
  </si>
  <si>
    <t>Annual Hiring Need</t>
  </si>
  <si>
    <t>hires/year</t>
  </si>
  <si>
    <t>Market opportunity = 3.5M × 94%</t>
  </si>
  <si>
    <t>Growth Rates</t>
  </si>
  <si>
    <t>Year 1 Monthly Placement Growth</t>
  </si>
  <si>
    <t>Initial traction phase growth rate</t>
  </si>
  <si>
    <t>Year 2 Monthly Placement Growth</t>
  </si>
  <si>
    <t>Scaling phase with market validation (aligned with P&amp;L)</t>
  </si>
  <si>
    <t>Year 3+ Monthly Placement Growth</t>
  </si>
  <si>
    <t>Full market penetration phase</t>
  </si>
  <si>
    <t>CUSTOMER ACQUISITION</t>
  </si>
  <si>
    <t>Driver Acquisition</t>
  </si>
  <si>
    <t>Driver CAC (Paid Ads)</t>
  </si>
  <si>
    <t>$/lead</t>
  </si>
  <si>
    <t>Based on Last Mile campaign data (Dec 2025)</t>
  </si>
  <si>
    <t>Driver Conversion Rate</t>
  </si>
  <si>
    <t>Lead to completed onboarding</t>
  </si>
  <si>
    <t>Effective Driver CAC</t>
  </si>
  <si>
    <t>$/driver</t>
  </si>
  <si>
    <t>CAC ÷ conversion rate</t>
  </si>
  <si>
    <t>Driver Lead Sources</t>
  </si>
  <si>
    <t>Meta Platform Ads, X, Google PPC, LinkedIn, Organic</t>
  </si>
  <si>
    <t>Multi-channel acquisition strategy</t>
  </si>
  <si>
    <t>Carrier Acquisition</t>
  </si>
  <si>
    <t>Carrier CAC (TMS SaaS Benchmark)</t>
  </si>
  <si>
    <t>$/carrier</t>
  </si>
  <si>
    <t>Industry benchmark for TMS software</t>
  </si>
  <si>
    <t>Carrier Onboarding Time</t>
  </si>
  <si>
    <t>days</t>
  </si>
  <si>
    <t>Average time to first placement</t>
  </si>
  <si>
    <t>Carriers per Sales Rep (Annual)</t>
  </si>
  <si>
    <t>Enterprise sales productivity</t>
  </si>
  <si>
    <t>Average Fleet Size (Carriers)</t>
  </si>
  <si>
    <t>trucks</t>
  </si>
  <si>
    <t>Target carrier profile</t>
  </si>
  <si>
    <t>UNIT ECONOMICS</t>
  </si>
  <si>
    <t>Placement Metrics</t>
  </si>
  <si>
    <t>Average Time to Placement</t>
  </si>
  <si>
    <t>From driver application to hire</t>
  </si>
  <si>
    <t>Match Success Rate</t>
  </si>
  <si>
    <t>Successful placements vs attempts</t>
  </si>
  <si>
    <t>Driver Retention (90-Day)</t>
  </si>
  <si>
    <t>Industry benchmark for quality placements</t>
  </si>
  <si>
    <t>Replacement Guarantee Period</t>
  </si>
  <si>
    <t>Free replacement window</t>
  </si>
  <si>
    <t>Contribution Margin</t>
  </si>
  <si>
    <t>Revenue per Placement</t>
  </si>
  <si>
    <t>Gross revenue</t>
  </si>
  <si>
    <t>Variable Costs per Placement</t>
  </si>
  <si>
    <t>Driver CAC + processing + support</t>
  </si>
  <si>
    <t>Contribution Margin per Unit</t>
  </si>
  <si>
    <t>Revenue - variable costs</t>
  </si>
  <si>
    <t>Contribution Margin %</t>
  </si>
  <si>
    <t>(Revenue - COGS) ÷ Revenue</t>
  </si>
  <si>
    <t>OPERATING EXPENSES</t>
  </si>
  <si>
    <t>Technology Infrastructure</t>
  </si>
  <si>
    <t>Google Cloud Platform (Monthly)</t>
  </si>
  <si>
    <t>Compute, storage, ML services, redundancy</t>
  </si>
  <si>
    <t>Third-Party Services (Monthly)</t>
  </si>
  <si>
    <t>Twilio, SendGrid, authentication, monitoring</t>
  </si>
  <si>
    <t>Development Tools (Monthly)</t>
  </si>
  <si>
    <t>GitHub, dev infrastructure, web dev</t>
  </si>
  <si>
    <t>Personnel (Founder Phase)</t>
  </si>
  <si>
    <t>Founder Salary (Minimal)</t>
  </si>
  <si>
    <t>Bare minimum living expenses</t>
  </si>
  <si>
    <t>Contract Developers (as needed)</t>
  </si>
  <si>
    <t>$/hour</t>
  </si>
  <si>
    <t>Specialized development work</t>
  </si>
  <si>
    <t>Healthcare (Individual)</t>
  </si>
  <si>
    <t>High-deductible plan</t>
  </si>
  <si>
    <t>Sales &amp; Marketing</t>
  </si>
  <si>
    <t>Driver Marketing Budget</t>
  </si>
  <si>
    <t>Facebook, LinkedIn, job boards (scales with growth)</t>
  </si>
  <si>
    <t>Carrier Sales &amp; Marketing</t>
  </si>
  <si>
    <t>Outbound sales, demos, collateral</t>
  </si>
  <si>
    <t>Content &amp; Brand</t>
  </si>
  <si>
    <t>Thought leadership, social media</t>
  </si>
  <si>
    <t>Legal &amp; Compliance</t>
  </si>
  <si>
    <t>Freight Broker Insurance</t>
  </si>
  <si>
    <t>General liability, cargo, E&amp;O</t>
  </si>
  <si>
    <t>Surety Bond (Annual)</t>
  </si>
  <si>
    <t>$/year</t>
  </si>
  <si>
    <t>$75K bond required by FMCSA</t>
  </si>
  <si>
    <t>Legal &amp; Compliance (Monthly)</t>
  </si>
  <si>
    <t>Templates, compliance, contractor attorney</t>
  </si>
  <si>
    <t>General &amp; Administrative</t>
  </si>
  <si>
    <t>Software &amp; Productivity</t>
  </si>
  <si>
    <t>Notion, Slack, Google Workspace</t>
  </si>
  <si>
    <t>Virtual Office</t>
  </si>
  <si>
    <t>Business address, mail handling</t>
  </si>
  <si>
    <t>Accounting Software</t>
  </si>
  <si>
    <t>QuickBooks Self-Employed</t>
  </si>
  <si>
    <t>Business Phone</t>
  </si>
  <si>
    <t>VoIP professional line</t>
  </si>
  <si>
    <t>FINANCIAL PROJECTIONS</t>
  </si>
  <si>
    <t>MVP Launch Month</t>
  </si>
  <si>
    <t>month</t>
  </si>
  <si>
    <t>First paid placement</t>
  </si>
  <si>
    <t>CHART DATA - MONTHLY OPERATING EXPENSES</t>
  </si>
  <si>
    <t>Break-Even Target</t>
  </si>
  <si>
    <t>Monthly profitability milestone</t>
  </si>
  <si>
    <t>Amount</t>
  </si>
  <si>
    <t>Product-Market Fit Signal</t>
  </si>
  <si>
    <t>placements/month</t>
  </si>
  <si>
    <t>Validation of market demand</t>
  </si>
  <si>
    <t>Technology</t>
  </si>
  <si>
    <t>Scale-Ready Signal</t>
  </si>
  <si>
    <t>Ready for external funding</t>
  </si>
  <si>
    <t>Personnel</t>
  </si>
  <si>
    <t>Marketing</t>
  </si>
  <si>
    <t>Capital Requirements</t>
  </si>
  <si>
    <t>Startup Capital (6 Months)</t>
  </si>
  <si>
    <t>From FounderLed MVP analysis</t>
  </si>
  <si>
    <t>Runway Extension Reserve</t>
  </si>
  <si>
    <t>Additional 3-month buffer</t>
  </si>
  <si>
    <t>G&amp;A</t>
  </si>
  <si>
    <t>Total Seed Capital Target</t>
  </si>
  <si>
    <t>Full capitalization for launch</t>
  </si>
  <si>
    <t>Monthly Burn Rate (Initial)</t>
  </si>
  <si>
    <t>Average monthly expenses pre-revenue</t>
  </si>
  <si>
    <t>KEY METRICS</t>
  </si>
  <si>
    <t>CHART DATA - MARKETING BUDGET</t>
  </si>
  <si>
    <t>North Star Metrics</t>
  </si>
  <si>
    <t>Successful Placements per Month</t>
  </si>
  <si>
    <t>Variable</t>
  </si>
  <si>
    <t>Primary growth indicator</t>
  </si>
  <si>
    <t>Channel</t>
  </si>
  <si>
    <t>Monthly Recurring Revenue (MRR)</t>
  </si>
  <si>
    <t>Predictable revenue stream from subscriptions</t>
  </si>
  <si>
    <t>Carrier Sales/Outreach</t>
  </si>
  <si>
    <t>LTV:CAC Ratio Target</t>
  </si>
  <si>
    <t>ratio</t>
  </si>
  <si>
    <t>Customer lifetime value to acquisition cost</t>
  </si>
  <si>
    <t>Driver Marketing</t>
  </si>
  <si>
    <t>Gross Margin Target</t>
  </si>
  <si>
    <t>High-margin AI-powered business model</t>
  </si>
  <si>
    <t>Efficiency Metrics</t>
  </si>
  <si>
    <t>Revenue per Employee (Target)</t>
  </si>
  <si>
    <t>Lean, tech-enabled operations</t>
  </si>
  <si>
    <t>Magic Number (Target)</t>
  </si>
  <si>
    <t>Sales efficiency: Net new ARR ÷ S&amp;M spend</t>
  </si>
  <si>
    <t>Payback Period (Target)</t>
  </si>
  <si>
    <t>months</t>
  </si>
  <si>
    <t>CAC payback period</t>
  </si>
  <si>
    <t>CHART DATA - REVENUE STREAMS (per carrier/month)</t>
  </si>
  <si>
    <t>Stream</t>
  </si>
  <si>
    <t>RISKS &amp; SENSITIVITIES</t>
  </si>
  <si>
    <t>Placement Services</t>
  </si>
  <si>
    <t>Key Risks</t>
  </si>
  <si>
    <t>Driver Supply Risk</t>
  </si>
  <si>
    <t>Medium</t>
  </si>
  <si>
    <t>Competition for driver attention</t>
  </si>
  <si>
    <t>Matching Engine Sub</t>
  </si>
  <si>
    <t>Carrier Adoption Risk</t>
  </si>
  <si>
    <t>Sales cycle may extend in downturn</t>
  </si>
  <si>
    <t>Add-on Products</t>
  </si>
  <si>
    <t>Technology Execution Risk</t>
  </si>
  <si>
    <t>Low</t>
  </si>
  <si>
    <t>Founder has technical capability</t>
  </si>
  <si>
    <t>Overage Revenue</t>
  </si>
  <si>
    <t>Market Timing Risk</t>
  </si>
  <si>
    <t>Structural driver shortage remains</t>
  </si>
  <si>
    <t>Sensitivity Factors</t>
  </si>
  <si>
    <t>Placement Fee Variance</t>
  </si>
  <si>
    <t>±20%</t>
  </si>
  <si>
    <t>Market pricing pressure range</t>
  </si>
  <si>
    <t>CAC Variance</t>
  </si>
  <si>
    <t>±30%</t>
  </si>
  <si>
    <t>Marketing efficiency range</t>
  </si>
  <si>
    <t>Growth Rate Variance</t>
  </si>
  <si>
    <t>±10%</t>
  </si>
  <si>
    <t>Market adoption uncertainty</t>
  </si>
  <si>
    <t>Churn Rate Impact</t>
  </si>
  <si>
    <t>5-15%</t>
  </si>
  <si>
    <t>Customer retention variability</t>
  </si>
  <si>
    <t>METHODOLOGY NOTES</t>
  </si>
  <si>
    <t>• Driver CAC based on actual Last Mile Advertising campaign data (Dec 7-17, 2025): $16.28 per lead</t>
  </si>
  <si>
    <t>• Carrier CAC uses TMS SaaS industry benchmark: $450 per carrier</t>
  </si>
  <si>
    <t>• Placement fee of $1,200 includes $100 setup fee (per user specifications)</t>
  </si>
  <si>
    <t>• Contribution margin calculated as: Revenue ($1,200) - Variable costs ($65) = $1,135 (94.6%)</t>
  </si>
  <si>
    <t>• Financial model assumes founder-led MVP build using Google Cloud Platform</t>
  </si>
  <si>
    <t>• Break-even analysis targets 18-month timeline to monthly profitability</t>
  </si>
  <si>
    <t>• All figures subject to market validation and actual performance data</t>
  </si>
  <si>
    <t>TAM/SAM/SOM ANALYSIS</t>
  </si>
  <si>
    <t>Market Level</t>
  </si>
  <si>
    <t>Calculation</t>
  </si>
  <si>
    <t>TAM (Total Addressable Market)</t>
  </si>
  <si>
    <t>All US CDL driver hiring</t>
  </si>
  <si>
    <t>$3.95B</t>
  </si>
  <si>
    <t>3.29M hires/year x $1,200 avg placement fee</t>
  </si>
  <si>
    <t>Entire US trucking recruitment market</t>
  </si>
  <si>
    <t>SAM (Serviceable Addressable Market)</t>
  </si>
  <si>
    <t>Tech-forward carriers (&gt;50 trucks)</t>
  </si>
  <si>
    <t>$1.58B</t>
  </si>
  <si>
    <t>TAM x 40% (carriers likely to adopt SaaS)</t>
  </si>
  <si>
    <t>Carriers using technology for recruitment</t>
  </si>
  <si>
    <t>SOM (Serviceable Obtainable Market)</t>
  </si>
  <si>
    <t>Realistic Y3 capture</t>
  </si>
  <si>
    <t>$15.8M</t>
  </si>
  <si>
    <t>SAM x 1% market share</t>
  </si>
  <si>
    <t>Conservative 3-year target</t>
  </si>
  <si>
    <t>Y1 Target</t>
  </si>
  <si>
    <t>MVP validation</t>
  </si>
  <si>
    <t>$1.2M</t>
  </si>
  <si>
    <t>1,000 placements x $1,200</t>
  </si>
  <si>
    <t>Initial traction milestone</t>
  </si>
  <si>
    <t>Y2 Target</t>
  </si>
  <si>
    <t>Growth phase</t>
  </si>
  <si>
    <t>$6.5M</t>
  </si>
  <si>
    <t>~5,400 placements + subscriptions</t>
  </si>
  <si>
    <t>Post product-market fit</t>
  </si>
  <si>
    <t>MARKET PENETRATION ANALYSIS</t>
  </si>
  <si>
    <t>Year</t>
  </si>
  <si>
    <t>Market Share</t>
  </si>
  <si>
    <t>Revenue</t>
  </si>
  <si>
    <t>Year 1</t>
  </si>
  <si>
    <t>1,000</t>
  </si>
  <si>
    <t>0.03%</t>
  </si>
  <si>
    <t>Validation phase</t>
  </si>
  <si>
    <t>Year 2</t>
  </si>
  <si>
    <t>5,400</t>
  </si>
  <si>
    <t>0.16%</t>
  </si>
  <si>
    <t>Growth acceleration</t>
  </si>
  <si>
    <t>Year 3</t>
  </si>
  <si>
    <t>15,000</t>
  </si>
  <si>
    <t>0.46%</t>
  </si>
  <si>
    <t>$18M</t>
  </si>
  <si>
    <t>Market establishment</t>
  </si>
  <si>
    <t>Year 5</t>
  </si>
  <si>
    <t>50,000</t>
  </si>
  <si>
    <t>1.52%</t>
  </si>
  <si>
    <t>$60M</t>
  </si>
  <si>
    <t>Major player status</t>
  </si>
  <si>
    <t>COMPETITIVE ANALYSIS</t>
  </si>
  <si>
    <t>Competitor</t>
  </si>
  <si>
    <t>Model</t>
  </si>
  <si>
    <t>Pricing</t>
  </si>
  <si>
    <t>Strengths</t>
  </si>
  <si>
    <t>Weaknesses</t>
  </si>
  <si>
    <t>Our Differentiation</t>
  </si>
  <si>
    <t>Tenstreet</t>
  </si>
  <si>
    <t>Job board + ATS</t>
  </si>
  <si>
    <t>$200-500/mo + per-app fees</t>
  </si>
  <si>
    <t>Market leader, established brand, full ATS</t>
  </si>
  <si>
    <t>No AI matching, legacy tech, expensive</t>
  </si>
  <si>
    <t>AI-first matching, lower cost, modern UX</t>
  </si>
  <si>
    <t>DriverReach</t>
  </si>
  <si>
    <t>Recruiting platform</t>
  </si>
  <si>
    <t>$300-800/mo</t>
  </si>
  <si>
    <t>Good UX, modern platform</t>
  </si>
  <si>
    <t>Limited matching intelligence, small network</t>
  </si>
  <si>
    <t>Superior ML matching, placement services</t>
  </si>
  <si>
    <t>CDLjobs/Trucking Jobs</t>
  </si>
  <si>
    <t>Job boards</t>
  </si>
  <si>
    <t>Per-posting fees</t>
  </si>
  <si>
    <t>Large driver audiences, brand awareness</t>
  </si>
  <si>
    <t>No matching, no retention, commoditized</t>
  </si>
  <si>
    <t>Intelligent matching vs. job postings</t>
  </si>
  <si>
    <t>Staffing Agencies</t>
  </si>
  <si>
    <t>Full-service recruiting</t>
  </si>
  <si>
    <t>20-30% of first year salary</t>
  </si>
  <si>
    <t>White-glove service, relationships</t>
  </si>
  <si>
    <t>Very expensive, slow, manual process</t>
  </si>
  <si>
    <t>90% cost reduction, faster placements</t>
  </si>
  <si>
    <t>Uber Freight/Convoy</t>
  </si>
  <si>
    <t>Digital freight brokerage</t>
  </si>
  <si>
    <t>Per-load fees</t>
  </si>
  <si>
    <t>Strong tech, well-funded</t>
  </si>
  <si>
    <t>Focus on freight, not driver employment</t>
  </si>
  <si>
    <t>Employment focus, carrier relationships</t>
  </si>
  <si>
    <t>COMPETITIVE POSITIONING</t>
  </si>
  <si>
    <t>Positioning Statement</t>
  </si>
  <si>
    <t>VelocityMatch is the AI-powered driver placement platform that reduces carrier hiring costs by 90% while improving retention through intelligent matching.</t>
  </si>
  <si>
    <t>Primary Differentiation</t>
  </si>
  <si>
    <t>ML-based matching algorithm trained on driver preferences, career patterns, and carrier culture fit.</t>
  </si>
  <si>
    <t>Secondary Differentiation</t>
  </si>
  <si>
    <t>Hybrid model: SaaS subscription + per-placement success fee aligns incentives with carrier outcomes.</t>
  </si>
  <si>
    <t>Target Customer</t>
  </si>
  <si>
    <t>Mid-market carriers (50-500 trucks) with high turnover and recruitment pain, technology-forward operations.</t>
  </si>
  <si>
    <t>Moat Strategy</t>
  </si>
  <si>
    <t>Network effects (driver pool) + data moat (matching algorithm improvement) + switching costs (integrations).</t>
  </si>
  <si>
    <t>Starting Values Value (10)</t>
  </si>
  <si>
    <t>Reactivation Rate</t>
  </si>
  <si>
    <t>Revenue per Carrier/Month</t>
  </si>
  <si>
    <t>Total Carriers Churned</t>
  </si>
  <si>
    <t>Technology &amp; Development</t>
  </si>
  <si>
    <t>Pilot Program &amp; Validation</t>
  </si>
  <si>
    <t>Brand &amp; Marketing Foundation</t>
  </si>
  <si>
    <t>Operational Infrastructure</t>
  </si>
  <si>
    <t>Founder Living Expenses</t>
  </si>
  <si>
    <t>Contingency &amp; Reserves</t>
  </si>
  <si>
    <t>Starting Carriers (Month 1)</t>
  </si>
  <si>
    <t>Monthly Carrier Growth Rate (Y2)</t>
  </si>
  <si>
    <t>Outflows</t>
  </si>
  <si>
    <t>Current Assets</t>
  </si>
  <si>
    <t>Current Liabilities</t>
  </si>
  <si>
    <t>VELOCITYMATCH - CARRIER CHURN &amp; RETENTION MODEL</t>
  </si>
  <si>
    <t>Customer Lifecycle Analysis | Yellow cells are inputs</t>
  </si>
  <si>
    <t>Generated: December 23, 2025</t>
  </si>
  <si>
    <t>CHURN ASSUMPTIONS</t>
  </si>
  <si>
    <t>Input</t>
  </si>
  <si>
    <t>Industry Benchmark</t>
  </si>
  <si>
    <t>Monthly Churn Rate (Y1)</t>
  </si>
  <si>
    <t>Expected monthly carrier churn</t>
  </si>
  <si>
    <t>5-7% for SaaS</t>
  </si>
  <si>
    <t>Monthly Churn Rate (Y2)</t>
  </si>
  <si>
    <t>Improved with product maturity</t>
  </si>
  <si>
    <t>3-5% for established</t>
  </si>
  <si>
    <t>Monthly Churn Rate (Y3+)</t>
  </si>
  <si>
    <t>Stable mature product</t>
  </si>
  <si>
    <t>2-4% best-in-class</t>
  </si>
  <si>
    <t>Churned carriers who return</t>
  </si>
  <si>
    <t>5-15% industry avg</t>
  </si>
  <si>
    <t>RETENTION &amp; LIFETIME VALUE METRICS</t>
  </si>
  <si>
    <t>Formula</t>
  </si>
  <si>
    <t>Monthly Retention Rate (Y1)</t>
  </si>
  <si>
    <t>95% retention monthly</t>
  </si>
  <si>
    <t>Annual Retention Rate (Y1)</t>
  </si>
  <si>
    <t>Compounded annual retention</t>
  </si>
  <si>
    <t>Customer Lifetime (months)</t>
  </si>
  <si>
    <t>Average months before churn</t>
  </si>
  <si>
    <t>From P&amp;L model</t>
  </si>
  <si>
    <t>Matching + Placements + Add-ons</t>
  </si>
  <si>
    <t>Customer Lifetime Value (LTV)</t>
  </si>
  <si>
    <t>Total revenue per carrier</t>
  </si>
  <si>
    <t>Carrier Acquisition Cost (CAC)</t>
  </si>
  <si>
    <t>From Assumptions</t>
  </si>
  <si>
    <t>TMS SaaS benchmark</t>
  </si>
  <si>
    <t>LTV:CAC Ratio</t>
  </si>
  <si>
    <t>Target: &gt;3:1 for healthy SaaS</t>
  </si>
  <si>
    <t>CAC Payback (months)</t>
  </si>
  <si>
    <t>Target: &lt;12 months</t>
  </si>
  <si>
    <t>CARRIER COHORT ANALYSIS - WITH CHURN</t>
  </si>
  <si>
    <t>Shows how churn impacts carrier count vs. P&amp;L gross projections</t>
  </si>
  <si>
    <t>Churned</t>
  </si>
  <si>
    <t>Retained</t>
  </si>
  <si>
    <t>Net Active</t>
  </si>
  <si>
    <t>Gross (No Churn)</t>
  </si>
  <si>
    <t>Churn Impact</t>
  </si>
  <si>
    <t>CHURN IMPACT SUMMARY</t>
  </si>
  <si>
    <t>Without Churn</t>
  </si>
  <si>
    <t>With Churn</t>
  </si>
  <si>
    <t>Difference</t>
  </si>
  <si>
    <t>Impact %</t>
  </si>
  <si>
    <t>Y1 Ending Carriers (M12)</t>
  </si>
  <si>
    <t>Y2 Ending Carriers (M24)</t>
  </si>
  <si>
    <t>carriers lost</t>
  </si>
  <si>
    <t>Revenue Impact (est.)</t>
  </si>
  <si>
    <t>GROWTH RATE JUSTIFICATION - ANNUAL COMPARISONS</t>
  </si>
  <si>
    <t>Why 430% Year 1 and 260% Year 2 Annual Growth is Achievable:</t>
  </si>
  <si>
    <t>1. Y1 Annual Growth (430%): 15% monthly = ~5.3x annual growth from tiny base (4 to ~21 carriers)</t>
  </si>
  <si>
    <t>2. Y2 Annual Growth (260%): 30% monthly = ~23x multiplier, but from validated foundation</t>
  </si>
  <si>
    <t>3. Market Context: 3.29M annual hires, Y1 captures 0.03% - massive runway remaining</t>
  </si>
  <si>
    <t>4. Product-Market Fit: Y1 validates core matching algorithm with real placements</t>
  </si>
  <si>
    <t>5. Sales Productivity: Biz Dev hired M3 has 9-month ramp, fully productive in Y2</t>
  </si>
  <si>
    <t>6. Referral Engine: 15-20% of new carriers from referrals (built-in viral coefficient)</t>
  </si>
  <si>
    <t>7. Network Effects: More drivers = better matches = higher close rates = faster growth</t>
  </si>
  <si>
    <t>COMPARABLE ANNUAL GROWTH BENCHMARKS (Not Monthly):</t>
  </si>
  <si>
    <t>Company</t>
  </si>
  <si>
    <t>Stage</t>
  </si>
  <si>
    <t>Annual Growth</t>
  </si>
  <si>
    <t>Context</t>
  </si>
  <si>
    <t>Uber Freight</t>
  </si>
  <si>
    <t>Y1-Y2</t>
  </si>
  <si>
    <t>100-150% YoY</t>
  </si>
  <si>
    <t>Digital freight brokerage expansion</t>
  </si>
  <si>
    <t>Convoy</t>
  </si>
  <si>
    <t>Y2-Y3</t>
  </si>
  <si>
    <t>150-300% YoY</t>
  </si>
  <si>
    <t>During hyper-growth 2017-2019</t>
  </si>
  <si>
    <t>Loadsmart</t>
  </si>
  <si>
    <t>AI-powered brokerage scaling</t>
  </si>
  <si>
    <t>Established</t>
  </si>
  <si>
    <t>20-30% YoY</t>
  </si>
  <si>
    <t>Market leader, mature growth</t>
  </si>
  <si>
    <t>Typical B2B SaaS</t>
  </si>
  <si>
    <t>Post-PMF</t>
  </si>
  <si>
    <t>100-200% YoY</t>
  </si>
  <si>
    <t>Industry benchmark for scaling</t>
  </si>
  <si>
    <t>VelocityMatch (Target)</t>
  </si>
  <si>
    <t>Y1</t>
  </si>
  <si>
    <t>430% YoY</t>
  </si>
  <si>
    <t>From 4 to 21 carriers (tiny base)</t>
  </si>
  <si>
    <t>Y2</t>
  </si>
  <si>
    <t>260% YoY</t>
  </si>
  <si>
    <t>From 21 to 76 carriers</t>
  </si>
  <si>
    <t>VELOCITYMATCH LAYER 1 STARTUP COSTS - FOUNDER-LED MVP</t>
  </si>
  <si>
    <t>Strategic Focus: Solo Founder Builds Layer 1 (AI Matching Engine) - Google Cloud Platform</t>
  </si>
  <si>
    <t>Line Item</t>
  </si>
  <si>
    <t>Quantity</t>
  </si>
  <si>
    <t>Unit Cost</t>
  </si>
  <si>
    <t>Total Cost</t>
  </si>
  <si>
    <t>Timing</t>
  </si>
  <si>
    <t>Notes/Assumptions</t>
  </si>
  <si>
    <t>Google Cloud Platform - Infrastructure</t>
  </si>
  <si>
    <t>GCP setup: Compute Engine, Cloud SQL, Cloud Storage, Vertex AI</t>
  </si>
  <si>
    <t>Months 1-6</t>
  </si>
  <si>
    <t>GCP for dev/staging/prod + ML infrastructure, founder DevOps</t>
  </si>
  <si>
    <t>Mobile Development (Contract)</t>
  </si>
  <si>
    <t>React Native app for driver onboarding - iOS/Android</t>
  </si>
  <si>
    <t>Months 3-5</t>
  </si>
  <si>
    <t>Contractor builds mobile while founder focuses on ML core</t>
  </si>
  <si>
    <t>UI/UX Design (Contract)</t>
  </si>
  <si>
    <t>Design system, driver app UX, carrier dashboard design</t>
  </si>
  <si>
    <t>Months 2-4</t>
  </si>
  <si>
    <t>Professional design contractor - founder implements</t>
  </si>
  <si>
    <t>AI/ML Training Data &amp; Tools</t>
  </si>
  <si>
    <t>Synthetic data generation, labeling tools, model training costs</t>
  </si>
  <si>
    <t>Months 1-4</t>
  </si>
  <si>
    <t>Data prep for matching algorithm training</t>
  </si>
  <si>
    <t>Development Tools &amp; Licenses</t>
  </si>
  <si>
    <t>GitHub, Linear, Figma, GCP credits, AI/ML tools</t>
  </si>
  <si>
    <t>Solo founder toolset - lean but professional</t>
  </si>
  <si>
    <t>API &amp; Integration Services</t>
  </si>
  <si>
    <t>Twilio, SendGrid, authentication services, payment processing</t>
  </si>
  <si>
    <t>Essential third-party services for MVP</t>
  </si>
  <si>
    <t>Business Formation &amp; Registration</t>
  </si>
  <si>
    <t>LLC formation, state registration, EIN</t>
  </si>
  <si>
    <t>Month 1</t>
  </si>
  <si>
    <t>DIY formation with LegalZoom + attorney review</t>
  </si>
  <si>
    <t>Freight Broker Authority (MC Number)</t>
  </si>
  <si>
    <t>FMCSA operating authority, BOC-3 filing</t>
  </si>
  <si>
    <t>Required for freight brokerage operations</t>
  </si>
  <si>
    <t>Surety Bond</t>
  </si>
  <si>
    <t>$75k freight broker bond (required by FMCSA)</t>
  </si>
  <si>
    <t>Annual premium ~1.5-2% of bond amount</t>
  </si>
  <si>
    <t>Business Insurance Package</t>
  </si>
  <si>
    <t>General liability, cyber liability, E&amp;O bundled</t>
  </si>
  <si>
    <t>Small business insurance bundle ~$650/month</t>
  </si>
  <si>
    <t>Legal Templates &amp; Compliance</t>
  </si>
  <si>
    <t>ToS, Privacy Policy, MSA templates, GDPR/CCPA basics</t>
  </si>
  <si>
    <t>Month 2</t>
  </si>
  <si>
    <t>Template package + attorney review - no custom drafting</t>
  </si>
  <si>
    <t>Trademark Filing (DIY)</t>
  </si>
  <si>
    <t>USPTO trademark filing for VelocityMatch</t>
  </si>
  <si>
    <t>DIY filing with online guidance</t>
  </si>
  <si>
    <t>Initial Carrier Outreach</t>
  </si>
  <si>
    <t>Beta carrier recruitment: LinkedIn, cold outreach, referrals</t>
  </si>
  <si>
    <t>Founder-led sales + small incentives for early adopters</t>
  </si>
  <si>
    <t>Driver Recruitment - Organic</t>
  </si>
  <si>
    <t>Recruit 30-50 drivers: Facebook groups, referrals, job boards</t>
  </si>
  <si>
    <t>Months 4-6</t>
  </si>
  <si>
    <t>Organic + minimal paid ads, founder-managed</t>
  </si>
  <si>
    <t>Beta Testing Tools</t>
  </si>
  <si>
    <t>UserTesting.com, survey tools, feedback management</t>
  </si>
  <si>
    <t>DIY user research with affordable tools</t>
  </si>
  <si>
    <t>Market Research &amp; Data</t>
  </si>
  <si>
    <t>Industry reports, carrier interviews, competitive intel</t>
  </si>
  <si>
    <t>Months 1-2</t>
  </si>
  <si>
    <t>Free resources + 1-2 paid reports</t>
  </si>
  <si>
    <t>Brand Identity (DIY + Contractor)</t>
  </si>
  <si>
    <t>Logo design, basic brand guidelines</t>
  </si>
  <si>
    <t>Fiverr/99designs logo + founder creates guidelines</t>
  </si>
  <si>
    <t>Website (No-Code)</t>
  </si>
  <si>
    <t>Webflow/Framer marketing site with lead capture</t>
  </si>
  <si>
    <t>Months 2-3</t>
  </si>
  <si>
    <t>No-code platform + founder builds + template</t>
  </si>
  <si>
    <t>Sales Deck &amp; Collateral</t>
  </si>
  <si>
    <t>Pitch deck, one-pager, founder creates in Figma</t>
  </si>
  <si>
    <t>Month 3</t>
  </si>
  <si>
    <t>DIY with design template + minor contractor help</t>
  </si>
  <si>
    <t>Demo Environment</t>
  </si>
  <si>
    <t>Sandbox GCP instance with seed data</t>
  </si>
  <si>
    <t>Month 4</t>
  </si>
  <si>
    <t>Founder-built demo with scripted scenarios</t>
  </si>
  <si>
    <t>Content Creation (Founder)</t>
  </si>
  <si>
    <t>LinkedIn posts, blog articles, thought leadership</t>
  </si>
  <si>
    <t>Months 3-6</t>
  </si>
  <si>
    <t>Founder writes, Grammarly edits, ChatGPT assists</t>
  </si>
  <si>
    <t>Google Cloud Platform (GCP)</t>
  </si>
  <si>
    <t>Hosting, compute, storage, ML services</t>
  </si>
  <si>
    <t>Aggressive use of GCP startup credits + optimization</t>
  </si>
  <si>
    <t>Software &amp; Productivity Tools</t>
  </si>
  <si>
    <t>Notion, Slack free tier, Google Workspace</t>
  </si>
  <si>
    <t>Solo founder using mostly free tiers</t>
  </si>
  <si>
    <t>Equipment (Personal)</t>
  </si>
  <si>
    <t>MacBook Pro upgrade if needed</t>
  </si>
  <si>
    <t>Use existing equipment or minimal upgrade</t>
  </si>
  <si>
    <t>Virtual business address for LLC</t>
  </si>
  <si>
    <t>iPostal1 or similar budget virtual office</t>
  </si>
  <si>
    <t>QuickBooks Self-Employed or Wave (free)</t>
  </si>
  <si>
    <t>DIY bookkeeping with affordable software</t>
  </si>
  <si>
    <t>Google Voice or basic VoIP</t>
  </si>
  <si>
    <t>Virtual phone number for professional presence</t>
  </si>
  <si>
    <t>Founder Minimal Salary</t>
  </si>
  <si>
    <t>Bare minimum living expenses during build</t>
  </si>
  <si>
    <t>Ramen profitability - cut all non-essentials</t>
  </si>
  <si>
    <t>Marketplace health insurance or spouse coverage</t>
  </si>
  <si>
    <t>High-deductible plan to minimize monthly cost</t>
  </si>
  <si>
    <t>Payroll Taxes (Self-Employment)</t>
  </si>
  <si>
    <t>Self-employment tax on minimal salary</t>
  </si>
  <si>
    <t>~15.3% of salary for self-employment tax</t>
  </si>
  <si>
    <t>Development Contingency</t>
  </si>
  <si>
    <t>10% buffer for technical surprises</t>
  </si>
  <si>
    <t>As Needed</t>
  </si>
  <si>
    <t>Smaller buffer - founder can pivot quickly</t>
  </si>
  <si>
    <t>Emergency Fund</t>
  </si>
  <si>
    <t>Unexpected expenses or opportunities</t>
  </si>
  <si>
    <t>Safety net for critical issues</t>
  </si>
  <si>
    <t>CATEGORY SUBTOTALS</t>
  </si>
  <si>
    <t>TOTAL STARTUP CAPITAL REQUIRED:</t>
  </si>
  <si>
    <t>KEY ASSUMPTIONS &amp; FOUNDER STRATEGY</t>
  </si>
  <si>
    <t>Solo Founder Build</t>
  </si>
  <si>
    <t>You code the entire backend, ML algorithm, carrier dashboard, and integrations</t>
  </si>
  <si>
    <t>Contract Only Mobile</t>
  </si>
  <si>
    <t>Hire React Native contractor for mobile app - not your core strength</t>
  </si>
  <si>
    <t>DIY Everything Else</t>
  </si>
  <si>
    <t>Legal templates, accounting, marketing, sales - all founder-led</t>
  </si>
  <si>
    <t>Minimal Living Expenses</t>
  </si>
  <si>
    <t>$3,500/month survival mode - roommate, rice &amp; beans, no luxuries</t>
  </si>
  <si>
    <t>6-Month Timeline</t>
  </si>
  <si>
    <t>Aggressive build to MVP with validation pilot by Month 6</t>
  </si>
  <si>
    <t>No Salary Cushion</t>
  </si>
  <si>
    <t>This assumes you have NO other income and need bare minimum to survive</t>
  </si>
  <si>
    <t>GCP Startup Credits</t>
  </si>
  <si>
    <t>Apply for $100K+ in GCP credits to offset infrastructure costs</t>
  </si>
  <si>
    <t>Technology Stack</t>
  </si>
  <si>
    <t>Python/Django backend, React carrier dashboard, React Native mobile, GCP</t>
  </si>
  <si>
    <t>Development Strategy</t>
  </si>
  <si>
    <t>Backend/ML first (Months 1-3), Mobile contractor parallel (Months 3-5)</t>
  </si>
  <si>
    <t>Pilot Scale</t>
  </si>
  <si>
    <t>2-3 beta carriers, 30-50 drivers - enough to validate matching accuracy</t>
  </si>
  <si>
    <t>Revenue Timeline</t>
  </si>
  <si>
    <t>Zero revenue during build - first income Month 7 from pilot carriers</t>
  </si>
  <si>
    <t>Burn Rate</t>
  </si>
  <si>
    <t>~$31,000/month - mostly living expenses + contractors</t>
  </si>
  <si>
    <t>Risk Mitigation</t>
  </si>
  <si>
    <t>If MVP fails, $24K contingency buys 2 months runway to pivot or find work</t>
  </si>
  <si>
    <t>Success Metric</t>
  </si>
  <si>
    <t>Prove matching algorithm reduces carrier hiring time by 40%+ vs manual</t>
  </si>
  <si>
    <t>Post-MVP Options</t>
  </si>
  <si>
    <t>(1) Bootstrap to revenue, (2) Raise angel/pre-seed, (3) Pivot based on learnings</t>
  </si>
  <si>
    <t>FOUNDER REALITY CHECK</t>
  </si>
  <si>
    <t>Time Commitment</t>
  </si>
  <si>
    <t>60-80 hours/week minimum - this is not a side project</t>
  </si>
  <si>
    <t>Technical Skill Required</t>
  </si>
  <si>
    <t>You must be comfortable with: Python, ML/AI, React, GCP, DevOps, SQL</t>
  </si>
  <si>
    <t>No Safety Net</t>
  </si>
  <si>
    <t>This budget assumes near-zero margin for error - failed contractors hurt</t>
  </si>
  <si>
    <t>Social Life = Zero</t>
  </si>
  <si>
    <t>No vacations, minimal socializing, relationships will be tested</t>
  </si>
  <si>
    <t>Stress Level = Extreme</t>
  </si>
  <si>
    <t>You are CTO, CEO, designer, marketer, salesperson, and support</t>
  </si>
  <si>
    <t>Health Risk</t>
  </si>
  <si>
    <t>Burnout is real - maintain minimal exercise/sleep or you will fail</t>
  </si>
  <si>
    <t>Alternative Path</t>
  </si>
  <si>
    <t>If this feels insane, find a technical co-founder or raise $500K seed</t>
  </si>
  <si>
    <t>STARTUP CAPITAL RECONCILIATION</t>
  </si>
  <si>
    <t>GCP, mobile dev, UI/UX, ML training</t>
  </si>
  <si>
    <t>LLC, MC authority, surety bond, insurance</t>
  </si>
  <si>
    <t>Carrier outreach, driver recruitment, beta testing</t>
  </si>
  <si>
    <t>Brand identity, website, sales collateral</t>
  </si>
  <si>
    <t>GCP hosting, software tools, equipment</t>
  </si>
  <si>
    <t>Founder Living Expenses (6 mo)</t>
  </si>
  <si>
    <t>Salary + healthcare + payroll taxes</t>
  </si>
  <si>
    <t>Dev contingency + emergency fund</t>
  </si>
  <si>
    <t>TOTAL STARTUP CAPITAL</t>
  </si>
  <si>
    <t>This is your seed capital requirement</t>
  </si>
  <si>
    <t>VELOCITYMATCH LAYER 1 - REVENUE MODEL</t>
  </si>
  <si>
    <t>Complete Product &amp; Pricing Structure</t>
  </si>
  <si>
    <t>Generated: December 22, 2025 | Research-Backed Pricing</t>
  </si>
  <si>
    <t>Product</t>
  </si>
  <si>
    <t>Price</t>
  </si>
  <si>
    <t>Includes</t>
  </si>
  <si>
    <t>Buyer</t>
  </si>
  <si>
    <t>Recurring</t>
  </si>
  <si>
    <t>One-Time</t>
  </si>
  <si>
    <t>Matching Engine (Core)</t>
  </si>
  <si>
    <t>$299/mo</t>
  </si>
  <si>
    <t>Flat Monthly</t>
  </si>
  <si>
    <t>AI driver-carrier matching, 10 matches/month included</t>
  </si>
  <si>
    <t>Carriers, Recruiters</t>
  </si>
  <si>
    <t>X</t>
  </si>
  <si>
    <t>$1,200/placement</t>
  </si>
  <si>
    <t>Per-Hire Fee</t>
  </si>
  <si>
    <t>Full-service driver placement, screening, onboarding support</t>
  </si>
  <si>
    <t>$199/mo</t>
  </si>
  <si>
    <t>Add-On</t>
  </si>
  <si>
    <t>$399/mo</t>
  </si>
  <si>
    <t>Brokers</t>
  </si>
  <si>
    <t>$249/mo</t>
  </si>
  <si>
    <t>Onboarding workflows, DQ file compliance, lightweight dispatch</t>
  </si>
  <si>
    <t>Carriers</t>
  </si>
  <si>
    <t>Carrier HR Dashboard</t>
  </si>
  <si>
    <t>$149/mo</t>
  </si>
  <si>
    <t>Recruiting dashboard, applicant tracking, candidate management</t>
  </si>
  <si>
    <t>Integrations Bundle</t>
  </si>
  <si>
    <t>Bundle</t>
  </si>
  <si>
    <t>3 integrations included (TMS, HRIS/Payroll, ELD connectors)</t>
  </si>
  <si>
    <t>$499-$999/mo</t>
  </si>
  <si>
    <t>Tiered</t>
  </si>
  <si>
    <t>$499/mo</t>
  </si>
  <si>
    <t>Multi-location/fleet mgmt, SSO, admin controls, permissions</t>
  </si>
  <si>
    <t>Enterprise Carriers</t>
  </si>
  <si>
    <t>TIERED PRICING DETAILS</t>
  </si>
  <si>
    <t>Analytics &amp; Telematics Tiers</t>
  </si>
  <si>
    <t>Tier</t>
  </si>
  <si>
    <t>Fleet Size</t>
  </si>
  <si>
    <t>Monthly Price</t>
  </si>
  <si>
    <t>Per-Truck Equivalent</t>
  </si>
  <si>
    <t>Standard</t>
  </si>
  <si>
    <t>Up to 100 trucks</t>
  </si>
  <si>
    <t>$4.99/truck</t>
  </si>
  <si>
    <t>Professional</t>
  </si>
  <si>
    <t>100-250 trucks</t>
  </si>
  <si>
    <t>$999/mo</t>
  </si>
  <si>
    <t>$4.00-$9.99/truck</t>
  </si>
  <si>
    <t>Enterprise</t>
  </si>
  <si>
    <t>250+ trucks</t>
  </si>
  <si>
    <t>Custom</t>
  </si>
  <si>
    <t>Contact Sales</t>
  </si>
  <si>
    <t>OVERAGE PRICING (One-Time, As-Needed)</t>
  </si>
  <si>
    <t>Base Included</t>
  </si>
  <si>
    <t>Overage Rate</t>
  </si>
  <si>
    <t>Example</t>
  </si>
  <si>
    <t>10 matches/month</t>
  </si>
  <si>
    <t>$35/additional match</t>
  </si>
  <si>
    <t>15 matches = $299 + (5 x $35) = $474</t>
  </si>
  <si>
    <t>API Calls</t>
  </si>
  <si>
    <t>10,000 calls/month</t>
  </si>
  <si>
    <t>$0.005/call after limit</t>
  </si>
  <si>
    <t>25,000 calls = base + (15K x $0.005) = $75 overage</t>
  </si>
  <si>
    <t>Tier truck limit</t>
  </si>
  <si>
    <t>$8/truck/month beyond tier</t>
  </si>
  <si>
    <t>Standard tier + 20 extra trucks = $499 + $160 = $659</t>
  </si>
  <si>
    <t>COST OF GOODS SOLD (COGS)</t>
  </si>
  <si>
    <t>Variable Cost</t>
  </si>
  <si>
    <t>Margin</t>
  </si>
  <si>
    <t>$15/mo</t>
  </si>
  <si>
    <t>LLM API costs (OpenAI/Anthropic), compute</t>
  </si>
  <si>
    <t>95%</t>
  </si>
  <si>
    <t>$65/placement</t>
  </si>
  <si>
    <t>Driver CAC ($46.51) + processing + support</t>
  </si>
  <si>
    <t>94.6%</t>
  </si>
  <si>
    <t>$10/mo</t>
  </si>
  <si>
    <t>Data storage, third-party data feeds</t>
  </si>
  <si>
    <t>$20/mo</t>
  </si>
  <si>
    <t>API costs, compute</t>
  </si>
  <si>
    <t>$12/mo</t>
  </si>
  <si>
    <t>Document processing, storage</t>
  </si>
  <si>
    <t>$8/mo</t>
  </si>
  <si>
    <t>Hosting, support allocation</t>
  </si>
  <si>
    <t>$25/mo</t>
  </si>
  <si>
    <t>Third-party API fees, maintenance</t>
  </si>
  <si>
    <t>87.4%</t>
  </si>
  <si>
    <t>$50-$100/mo</t>
  </si>
  <si>
    <t>ELD API fees, data processing, storage</t>
  </si>
  <si>
    <t>80-90%</t>
  </si>
  <si>
    <t>$30/mo</t>
  </si>
  <si>
    <t>SSO providers, enhanced security</t>
  </si>
  <si>
    <t>94%</t>
  </si>
  <si>
    <t>VELOCITYMATCH - OPERATING EXPENSES MODEL</t>
  </si>
  <si>
    <t>Dynamic Model - Yellow cells are inputs you can modify</t>
  </si>
  <si>
    <t>Generated: December 22, 2025</t>
  </si>
  <si>
    <t>INPUT ASSUMPTIONS</t>
  </si>
  <si>
    <t>Item</t>
  </si>
  <si>
    <t>Founder Monthly Salary</t>
  </si>
  <si>
    <t>Lean founder salary</t>
  </si>
  <si>
    <t>Biz Dev Base Salary (Annual)</t>
  </si>
  <si>
    <t>B2B carrier sales + driver retention</t>
  </si>
  <si>
    <t>Biz Dev Commission Rate</t>
  </si>
  <si>
    <t>12% of first-year carrier revenue</t>
  </si>
  <si>
    <t>Biz Dev Start Month</t>
  </si>
  <si>
    <t>Staggered hiring</t>
  </si>
  <si>
    <t>Recruiter Hourly Rate</t>
  </si>
  <si>
    <t>Part-time, you train up</t>
  </si>
  <si>
    <t>Recruiter Hours/Week</t>
  </si>
  <si>
    <t>hours</t>
  </si>
  <si>
    <t>Part-time</t>
  </si>
  <si>
    <t>Recruiter Start Month</t>
  </si>
  <si>
    <t>Month 6-8 range</t>
  </si>
  <si>
    <t>Contract Dev Hourly Rate</t>
  </si>
  <si>
    <t>Specialized development</t>
  </si>
  <si>
    <t>Contract Dev Hours/Month</t>
  </si>
  <si>
    <t>As needed for key features</t>
  </si>
  <si>
    <t>Google Cloud Platform</t>
  </si>
  <si>
    <t>Compute, storage, ML services</t>
  </si>
  <si>
    <t>Third-Party Services</t>
  </si>
  <si>
    <t>Twilio, SendGrid, auth</t>
  </si>
  <si>
    <t>Development Tools</t>
  </si>
  <si>
    <t>GitHub, Linear, Figma</t>
  </si>
  <si>
    <t>LinkedIn Sales Nav, prospecting, trade shows, outreach</t>
  </si>
  <si>
    <t>Facebook, job boards, digital ads</t>
  </si>
  <si>
    <t>Business Insurance</t>
  </si>
  <si>
    <t>GL, cyber, E&amp;O bundle</t>
  </si>
  <si>
    <t>Legal/Compliance</t>
  </si>
  <si>
    <t>Retainer + surety bond amortized</t>
  </si>
  <si>
    <t>Business address</t>
  </si>
  <si>
    <t>QuickBooks</t>
  </si>
  <si>
    <t>Google Voice/VoIP</t>
  </si>
  <si>
    <t>Healthcare (Founder)</t>
  </si>
  <si>
    <t>Payroll Tax Rate</t>
  </si>
  <si>
    <t>15.3% self-employment / employer taxes</t>
  </si>
  <si>
    <t>MONTHLY OPERATING EXPENSES - YEAR 1</t>
  </si>
  <si>
    <t>Expense Item</t>
  </si>
  <si>
    <t>Y1 Total</t>
  </si>
  <si>
    <t>Founder Salary</t>
  </si>
  <si>
    <t>Biz Dev Base</t>
  </si>
  <si>
    <t>Biz Dev Commission</t>
  </si>
  <si>
    <t>Part-Time Recruiter</t>
  </si>
  <si>
    <t>Contract Developers</t>
  </si>
  <si>
    <t>Payroll Taxes</t>
  </si>
  <si>
    <t>PERSONNEL SUBTOTAL</t>
  </si>
  <si>
    <t>TECHNOLOGY SUBTOTAL</t>
  </si>
  <si>
    <t>MARKETING SUBTOTAL</t>
  </si>
  <si>
    <t>G&amp;A SUBTOTAL</t>
  </si>
  <si>
    <t>TOTAL MONTHLY OPEX</t>
  </si>
  <si>
    <t>ALIGNMENT WITH STARTUP COSTS</t>
  </si>
  <si>
    <t>Note: Monthly operating expenses here represent ongoing costs AFTER the 6-month startup phase.</t>
  </si>
  <si>
    <t>Startup Costs sheet covers one-time and initial 6-month costs. This sheet models Month 1+ operations.</t>
  </si>
  <si>
    <t>Key Alignment Points:</t>
  </si>
  <si>
    <t xml:space="preserve">  - Founder Salary: $3,500/mo matches both sheets</t>
  </si>
  <si>
    <t xml:space="preserve">  - GCP: $1,200/mo matches both sheets</t>
  </si>
  <si>
    <t xml:space="preserve">  - Marketing: $5K carrier + $3K driver = $8K total monthly marketing budget</t>
  </si>
  <si>
    <t xml:space="preserve">  - Biz Dev hire: Not in Startup (6-mo solo), starts Month 3 in OpEx</t>
  </si>
  <si>
    <t>VELOCITYMATCH - PROFIT &amp; LOSS STATEMENT</t>
  </si>
  <si>
    <t>24-Month Projection | Yellow cells are modifiable inputs</t>
  </si>
  <si>
    <t>NOTE: Active Carriers now pulled from Churn Model (includes churn impact)</t>
  </si>
  <si>
    <t>REVENUE ASSUMPTIONS</t>
  </si>
  <si>
    <t>Monthly Carrier Growth Rate (Y1)</t>
  </si>
  <si>
    <t>15% month-over-month growth</t>
  </si>
  <si>
    <t>20% month-over-month growth</t>
  </si>
  <si>
    <t>Placements per Carrier per Month</t>
  </si>
  <si>
    <t>Avg placements per active carrier</t>
  </si>
  <si>
    <t>Matching Engine Price</t>
  </si>
  <si>
    <t>$/placement</t>
  </si>
  <si>
    <t>Per successful hire</t>
  </si>
  <si>
    <t>25% of carriers buy add-ons after M3</t>
  </si>
  <si>
    <t>Avg Add-on Revenue per Carrier</t>
  </si>
  <si>
    <t>Blended avg of add-on products</t>
  </si>
  <si>
    <t>Overage Revenue per Carrier</t>
  </si>
  <si>
    <t>Avg overage (extra matches)</t>
  </si>
  <si>
    <t>Overage Adoption Rate</t>
  </si>
  <si>
    <t>20% of carriers use overages</t>
  </si>
  <si>
    <t>COGS ASSUMPTIONS</t>
  </si>
  <si>
    <t>Matching Engine COGS</t>
  </si>
  <si>
    <t>$/month/carrier</t>
  </si>
  <si>
    <t>LLM API, compute</t>
  </si>
  <si>
    <t>Placement COGS</t>
  </si>
  <si>
    <t>Driver CAC + processing</t>
  </si>
  <si>
    <t>Add-on COGS %</t>
  </si>
  <si>
    <t>10% of add-on revenue</t>
  </si>
  <si>
    <t>PROFIT &amp; LOSS - 24 MONTH PROJECTION</t>
  </si>
  <si>
    <t>YEAR 1</t>
  </si>
  <si>
    <t>YEAR 2</t>
  </si>
  <si>
    <t>Y2 Total</t>
  </si>
  <si>
    <t>Metrics</t>
  </si>
  <si>
    <t>TOTAL REVENUE</t>
  </si>
  <si>
    <t>Add-on COGS</t>
  </si>
  <si>
    <t>TOTAL COGS</t>
  </si>
  <si>
    <t>Profit</t>
  </si>
  <si>
    <t>GROSS PROFIT</t>
  </si>
  <si>
    <t>Operating Expenses</t>
  </si>
  <si>
    <t>NET PROFIT (EBITDA)</t>
  </si>
  <si>
    <t>KEY METRICS SUMMARY</t>
  </si>
  <si>
    <t>All revenue streams</t>
  </si>
  <si>
    <t>Total COGS</t>
  </si>
  <si>
    <t>Variable costs</t>
  </si>
  <si>
    <t>Revenue - COGS</t>
  </si>
  <si>
    <t>Avg Gross Margin</t>
  </si>
  <si>
    <t>Gross Profit / Revenue</t>
  </si>
  <si>
    <t>From OpEx sheet</t>
  </si>
  <si>
    <t>Net Profit (EBITDA)</t>
  </si>
  <si>
    <t>Gross Profit - OpEx</t>
  </si>
  <si>
    <t>Avg Net Margin</t>
  </si>
  <si>
    <t>Net Profit / Revenue</t>
  </si>
  <si>
    <t>NOTE ON STARTUP COSTS</t>
  </si>
  <si>
    <t>Active subscribers</t>
  </si>
  <si>
    <t>Startup costs are reflected in Cash Flow sheet as initial capital required.</t>
  </si>
  <si>
    <t>Total Startup Capital: ='Startup Costs-Led BuildWA'!B90</t>
  </si>
  <si>
    <t>VELOCITYMATCH - CASH FLOW STATEMENT</t>
  </si>
  <si>
    <t>24-Month Projection | Tracks cash position and runway</t>
  </si>
  <si>
    <t>CASH ASSUMPTIONS</t>
  </si>
  <si>
    <t>Starting Cash (Seed Capital)</t>
  </si>
  <si>
    <t>Linked to Startup Costs sheet</t>
  </si>
  <si>
    <t>Accounts Receivable Days</t>
  </si>
  <si>
    <t>Avg days to collect payment</t>
  </si>
  <si>
    <t>Collection Rate</t>
  </si>
  <si>
    <t>95% of revenue collected (5% bad debt)</t>
  </si>
  <si>
    <t>CASH FLOW STATEMENT - 24 MONTHS</t>
  </si>
  <si>
    <t>Section</t>
  </si>
  <si>
    <t>Beginning</t>
  </si>
  <si>
    <t>Cash at Start of Period</t>
  </si>
  <si>
    <t>Inflows</t>
  </si>
  <si>
    <t>Revenue Collected</t>
  </si>
  <si>
    <t>Outside Investment</t>
  </si>
  <si>
    <t>TOTAL CASH INFLOWS</t>
  </si>
  <si>
    <t>COGS Paid</t>
  </si>
  <si>
    <t>Startup Costs (M1 only)</t>
  </si>
  <si>
    <t>TOTAL CASH OUTFLOWS</t>
  </si>
  <si>
    <t>Net</t>
  </si>
  <si>
    <t>NET CASH FLOW</t>
  </si>
  <si>
    <t>Ending</t>
  </si>
  <si>
    <t>Cash at End of Period</t>
  </si>
  <si>
    <t>Cumulative Cash Burn</t>
  </si>
  <si>
    <t>Months of Runway</t>
  </si>
  <si>
    <t>CASH POSITION SUMMARY</t>
  </si>
  <si>
    <t>Starting Capital</t>
  </si>
  <si>
    <t>Seed funding</t>
  </si>
  <si>
    <t>Y1 Total Cash Inflows</t>
  </si>
  <si>
    <t>Revenue collected + investment</t>
  </si>
  <si>
    <t>Y1 Total Cash Outflows</t>
  </si>
  <si>
    <t>COGS + OpEx + Startup</t>
  </si>
  <si>
    <t>Y1 Net Cash Flow</t>
  </si>
  <si>
    <t>Inflows - Outflows</t>
  </si>
  <si>
    <t>Y1 Ending Cash</t>
  </si>
  <si>
    <t>Cash position end of Y1</t>
  </si>
  <si>
    <t>Y2 Net Cash Flow</t>
  </si>
  <si>
    <t>Year 2 net</t>
  </si>
  <si>
    <t>Y2 Ending Cash</t>
  </si>
  <si>
    <t>Cash position end of Y2</t>
  </si>
  <si>
    <t>Break-Even Month</t>
  </si>
  <si>
    <t>First month with positive net cash flow</t>
  </si>
  <si>
    <t>VELOCITYMATCH - BALANCE SHEET</t>
  </si>
  <si>
    <t>Pro Forma Balance Sheet | End of Year Snapshots</t>
  </si>
  <si>
    <t>Generated: December 23, 2025 | Full Accrual Model with AR/AP</t>
  </si>
  <si>
    <t>Start (M0)</t>
  </si>
  <si>
    <t>End Y1 (M12)</t>
  </si>
  <si>
    <t>End Y2 (M24)</t>
  </si>
  <si>
    <t>ASSETS</t>
  </si>
  <si>
    <t>Cash &amp; Cash Equivalents</t>
  </si>
  <si>
    <t>From Cash Flow sheet (Y1/Y2) or Startup Capital (Start)</t>
  </si>
  <si>
    <t>Accounts Receivable</t>
  </si>
  <si>
    <t>1 month of revenue outstanding (30-day terms)</t>
  </si>
  <si>
    <t>Prepaid Expenses</t>
  </si>
  <si>
    <t>Prepaid insurance, software subscriptions</t>
  </si>
  <si>
    <t>Total Current Assets</t>
  </si>
  <si>
    <t>Fixed Assets</t>
  </si>
  <si>
    <t>Computer Equipment</t>
  </si>
  <si>
    <t>Simplified - included in operating expenses</t>
  </si>
  <si>
    <t>Less: Accumulated Depreciation</t>
  </si>
  <si>
    <t>3-year straight line</t>
  </si>
  <si>
    <t>Net Fixed Assets</t>
  </si>
  <si>
    <t>Intangible Assets</t>
  </si>
  <si>
    <t>Software Development (Capitalized)</t>
  </si>
  <si>
    <t>Simplified - expensed rather than capitalized</t>
  </si>
  <si>
    <t>Less: Amortization</t>
  </si>
  <si>
    <t>5-year amortization</t>
  </si>
  <si>
    <t>Net Intangible Assets</t>
  </si>
  <si>
    <t>TOTAL ASSETS</t>
  </si>
  <si>
    <t>LIABILITIES</t>
  </si>
  <si>
    <t>Accounts Payable</t>
  </si>
  <si>
    <t>~2 weeks of OpEx payable</t>
  </si>
  <si>
    <t>Accrued Expenses</t>
  </si>
  <si>
    <t>Accrued wages, payroll taxes, benefits</t>
  </si>
  <si>
    <t>Deferred Revenue</t>
  </si>
  <si>
    <t>Prepaid monthly subscriptions (1 month)</t>
  </si>
  <si>
    <t>Total Current Liabilities</t>
  </si>
  <si>
    <t>Long-term Liabilities</t>
  </si>
  <si>
    <t>Notes Payable</t>
  </si>
  <si>
    <t>No debt assumed</t>
  </si>
  <si>
    <t>TOTAL LIABILITIES</t>
  </si>
  <si>
    <t>EQUITY</t>
  </si>
  <si>
    <t>Equity</t>
  </si>
  <si>
    <t>Founder Investment</t>
  </si>
  <si>
    <t>Initial capital</t>
  </si>
  <si>
    <t>Retained Earnings</t>
  </si>
  <si>
    <t>Cumulative net profit from P&amp;L</t>
  </si>
  <si>
    <t>TOTAL EQUITY</t>
  </si>
  <si>
    <t>TOTAL LIABILITIES + EQUITY</t>
  </si>
  <si>
    <t>CHECK</t>
  </si>
  <si>
    <t>Assets - (Liab + Equity)</t>
  </si>
  <si>
    <t>Should be $0 (balanced)</t>
  </si>
  <si>
    <t>NOTE: Simplified cash-based balance sheet. Assets = Cash position from Cash Flow.</t>
  </si>
  <si>
    <t>Retained earnings = Change in cash from starting capital.</t>
  </si>
  <si>
    <t>KEY FINANCIAL RATIOS</t>
  </si>
  <si>
    <t>Ratio</t>
  </si>
  <si>
    <t>Start</t>
  </si>
  <si>
    <t>End Y1</t>
  </si>
  <si>
    <t>End Y2</t>
  </si>
  <si>
    <t>Current Ratio</t>
  </si>
  <si>
    <t>Current Assets / Current Liabilities (&gt;1 is healthy)</t>
  </si>
  <si>
    <t>Debt-to-Equity</t>
  </si>
  <si>
    <t>Total Liabilities / Equity (&lt;1 is conservative)</t>
  </si>
  <si>
    <t>Cash Ratio</t>
  </si>
  <si>
    <t>Cash / Current Liabilities (liquidity)</t>
  </si>
  <si>
    <t>ACCOUNTS RECEIVABLE / PAYABLE EXPLAINED</t>
  </si>
  <si>
    <t>Accounts Receivable (AR):</t>
  </si>
  <si>
    <t xml:space="preserve">  - Money owed TO you by customers</t>
  </si>
  <si>
    <t xml:space="preserve">  - Example: Carrier invoiced $1,200 for placement, pays in 30 days</t>
  </si>
  <si>
    <t xml:space="preserve">  - Calculated as: ~1 month of revenue (30-day payment terms)</t>
  </si>
  <si>
    <t>Accounts Payable (AP):</t>
  </si>
  <si>
    <t xml:space="preserve">  - Money YOU owe to vendors/suppliers</t>
  </si>
  <si>
    <t xml:space="preserve">  - Example: GCP bill received, paid in 15 days</t>
  </si>
  <si>
    <t xml:space="preserve">  - Calculated as: ~2 weeks of operating expenses</t>
  </si>
  <si>
    <t>Deferred Revenue:</t>
  </si>
  <si>
    <t xml:space="preserve">  - Money received BEFORE service delivered</t>
  </si>
  <si>
    <t xml:space="preserve">  - Example: Carrier prepays $299 monthly subscription</t>
  </si>
  <si>
    <t xml:space="preserve">  - Liability until service is provided</t>
  </si>
  <si>
    <t>Impact on Cash Flow:</t>
  </si>
  <si>
    <t xml:space="preserve">  - Higher AR = cash tied up in receivables (bad for cash)</t>
  </si>
  <si>
    <t xml:space="preserve">  - Higher AP = delaying payments (good for cash)</t>
  </si>
  <si>
    <t xml:space="preserve">  - This is why Cash Flow differs from Net Profit</t>
  </si>
  <si>
    <t>VELOCITYMATCH PRO FORMA - SOURCES &amp; RESEARCH DOCUMENTATION</t>
  </si>
  <si>
    <t>Research Conducted: December 22, 2025</t>
  </si>
  <si>
    <t>This document provides market research backing for all pricing decisions in this financial model.</t>
  </si>
  <si>
    <t>1. TMS &amp; FLEET MANAGEMENT SOFTWARE PRICING</t>
  </si>
  <si>
    <t>Source</t>
  </si>
  <si>
    <t>URL</t>
  </si>
  <si>
    <t>Key Finding</t>
  </si>
  <si>
    <t>Applied To</t>
  </si>
  <si>
    <t>Expert Market - Fleet Management Costs 2025</t>
  </si>
  <si>
    <t>https://www.expertmarket.com/fleet-management/costs</t>
  </si>
  <si>
    <t>Fleet mgmt software: $20-150/vehicle/month; Entry-level ~$14/mo, mid-range $25-45/mo, premium $100+/mo</t>
  </si>
  <si>
    <t>Analytics &amp; Telematics pricing tiers</t>
  </si>
  <si>
    <t>FreightWaves - Best Fleet Management Software</t>
  </si>
  <si>
    <t>https://ratings.freightwaves.com/best-fleet-management-software-systems/</t>
  </si>
  <si>
    <t>Samsara: $30-40/vehicle; Motive: $25-35/vehicle; Matrack: $19.95/mo</t>
  </si>
  <si>
    <t>Analytics &amp; Telematics per-truck benchmarks</t>
  </si>
  <si>
    <t>Truckpedia - Top TMS Software 2025</t>
  </si>
  <si>
    <t>https://truckpedia.io/resources/top-7-tms-software-for-carriers-in-2025-and-how-to-choose</t>
  </si>
  <si>
    <t>Mid-market TMS: $233-$500+/month; Truckbase: $290/mo; Rose Rocket: $233/mo</t>
  </si>
  <si>
    <t>Matching Engine &amp; Brokerage Automation pricing</t>
  </si>
  <si>
    <t>Trucking Dive - Top TMS 2025</t>
  </si>
  <si>
    <t>https://www.truckingdive.com/spons/top-tms-software-for-carriers-in-2025-an-in-depth-review/724275/</t>
  </si>
  <si>
    <t>Enterprise TMS (Turvo): $5,000+/month; McLeod/TMW for mega carriers</t>
  </si>
  <si>
    <t>Enterprise tier ceiling reference</t>
  </si>
  <si>
    <t>GPS Insight - Telematics Costs</t>
  </si>
  <si>
    <t>https://www.gpsinsight.com/blog/what-is-the-cost-of-telematics/</t>
  </si>
  <si>
    <t>Hardware: $199-399/gateway; 5-15% fuel savings within 6 months; ROI in 3-9 months</t>
  </si>
  <si>
    <t>Telematics ROI messaging</t>
  </si>
  <si>
    <t>2. DRIVER RECRUITING &amp; HR TECH PRICING</t>
  </si>
  <si>
    <t>People Managing People - Recruiting Software Pricing 2025</t>
  </si>
  <si>
    <t>https://peoplemanagingpeople.com/recruitment/recruiting-software-pricing/</t>
  </si>
  <si>
    <t>Small biz: $15-75/user/mo; Mid-market: $50-250/user/mo; Entry-level ATS: $1-25/user/mo</t>
  </si>
  <si>
    <t>Carrier HR Dashboard pricing</t>
  </si>
  <si>
    <t>Crozdesk - ATS Pricing Guide 2025</t>
  </si>
  <si>
    <t>https://crozdesk.com/human-resources/applicant-tracking-ats-software/pricing</t>
  </si>
  <si>
    <t>Cloudrecruit: $65/user/mo; PC Recruiter: $85/user/mo; Crelate: $69/user/mo</t>
  </si>
  <si>
    <t>Per-seat pricing benchmarks</t>
  </si>
  <si>
    <t>AvatarFleet - Driver Compliance Software Cost</t>
  </si>
  <si>
    <t>https://www.avatarfleet.com/blog/how-much-does-driver-compliance-software-cost</t>
  </si>
  <si>
    <t>Compliance software: $150-$1,200/month ($1,800-$14,000 annually)</t>
  </si>
  <si>
    <t>Operations Automation (DQ files) pricing</t>
  </si>
  <si>
    <t>https://www.tenstreet.com/</t>
  </si>
  <si>
    <t>Industry-leading driver recruitment software; private fleet solutions</t>
  </si>
  <si>
    <t>Competitive landscape reference</t>
  </si>
  <si>
    <t>Double Nickel</t>
  </si>
  <si>
    <t>https://www.getdoublenickel.com/</t>
  </si>
  <si>
    <t>All-in-one truck driver recruiting software</t>
  </si>
  <si>
    <t>Feature comparison reference</t>
  </si>
  <si>
    <t>3. JOB POSTING PLATFORM PRICING (Match Limit Benchmarks)</t>
  </si>
  <si>
    <t>Indeed - Free vs Sponsored Jobs</t>
  </si>
  <si>
    <t>https://www.indeed.com/hire/resources/howtohub/free-vs-sponsored-jobs-on-indeed</t>
  </si>
  <si>
    <t>Free tier: 3 jobs/month (30 days each); Standard subscription: $120/mo; Professional: $300/mo</t>
  </si>
  <si>
    <t>Matching Engine - 10 matches/month baseline</t>
  </si>
  <si>
    <t>ZipRecruiter - Pricing</t>
  </si>
  <si>
    <t>https://www.ziprecruiter.com/plans</t>
  </si>
  <si>
    <t>Standard: $299-399/mo for 5 job slots; Premium: ~$519/mo; Pro: ~$899/mo</t>
  </si>
  <si>
    <t>Matching Engine $299/mo price point</t>
  </si>
  <si>
    <t>CareerBuilder/Monster Pricing</t>
  </si>
  <si>
    <t>https://hiring.careerbuilder.com/small-business-subscription-plans-and-pricing</t>
  </si>
  <si>
    <t>Monster+ Pro: $299/mo with resume database access; Legacy CB: $349-749/mo</t>
  </si>
  <si>
    <t>Matching Engine competitive positioning</t>
  </si>
  <si>
    <t>TrustRadius - ZipRecruiter Pricing 2025</t>
  </si>
  <si>
    <t>https://www.trustradius.com/products/ziprecruiter/pricing</t>
  </si>
  <si>
    <t>Subscription model based on job slots, not per-post; can swap jobs as needed</t>
  </si>
  <si>
    <t>Match-based (not job-post) model validation</t>
  </si>
  <si>
    <t>4. TRUCKING INDUSTRY DATA</t>
  </si>
  <si>
    <t>ATA (American Trucking Associations) 2024</t>
  </si>
  <si>
    <t>Industry Report</t>
  </si>
  <si>
    <t>3.5 million CDL drivers in the US</t>
  </si>
  <si>
    <t>Market size assumptions</t>
  </si>
  <si>
    <t>ATRI (American Transportation Research Institute) 2024</t>
  </si>
  <si>
    <t>94% annual driver turnover rate</t>
  </si>
  <si>
    <t>Market opportunity calculation (3.29M hires/year)</t>
  </si>
  <si>
    <t>Last Mile Campaign Data (Dec 2025)</t>
  </si>
  <si>
    <t>Internal Data</t>
  </si>
  <si>
    <t>Driver CAC: $16.28/lead; 35% conversion rate = $46.51 effective CAC</t>
  </si>
  <si>
    <t>Unit economics, COGS calculations</t>
  </si>
  <si>
    <t>5. PRICING METHODOLOGY SUMMARY</t>
  </si>
  <si>
    <t>- Core Platform (Matching Engine): Priced at $299/mo to align with ZipRecruiter Standard tier and mid-market TMS solutions</t>
  </si>
  <si>
    <t>- Placement Services: Industry-standard recruiter placement fee at $1,200/hire with 94.6% contribution margin</t>
  </si>
  <si>
    <t>- Add-On Modules: Priced at 30-80% of core platform to encourage bundling while maintaining standalone value</t>
  </si>
  <si>
    <t>- Tiered Pricing (Telematics): Based on fleet management industry standard of $20-45/truck, consolidated into flat tiers for simplicity</t>
  </si>
  <si>
    <t>- Overage Pricing: Set at ~12% of full placement fee to encourage upgrade while providing flexibility</t>
  </si>
  <si>
    <t>- Target Market: Mid-market carriers (50-250 trucks) with average fleet size of 125 trucks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</si>
</sst>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&quot;$&quot;#,##0"/>
    <numFmt numFmtId="166" formatCode="0.0%"/>
    <numFmt numFmtId="167" formatCode="0.0"/>
  </numFmts>
  <fonts count="41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name val="Calibri"/>
    </font>
    <font>
      <i/>
      <sz val="10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b/>
      <sz val="13"/>
      <name val="Calibri"/>
    </font>
    <font>
      <b/>
      <sz val="12"/>
      <color rgb="FFFF0000"/>
      <name val="Calibri"/>
    </font>
    <font>
      <b/>
      <sz val="11"/>
      <color rgb="FFFF0000"/>
      <name val="Calibri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0"/>
      <name val="Calibri"/>
    </font>
    <font>
      <sz val="10"/>
      <name val="Calibri"/>
    </font>
    <font>
      <i/>
      <sz val="9"/>
      <name val="Calibri"/>
    </font>
    <font>
      <b/>
      <sz val="13"/>
      <color theme="1"/>
      <name val="Calibri"/>
      <family val="2"/>
    </font>
    <font>
      <b/>
      <sz val="14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b/>
      <sz val="10"/>
      <color rgb="FFFFFFFF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6"/>
      <name val="Calibri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i/>
      <sz val="11"/>
      <color rgb="FFFF0000"/>
      <name val="Calibri"/>
    </font>
    <font>
      <b/>
      <sz val="16"/>
      <name val="Calibri"/>
    </font>
    <font>
      <i/>
      <sz val="11"/>
      <name val="Calibri"/>
    </font>
    <font>
      <b/>
      <sz val="12"/>
      <name val="Calibri"/>
    </font>
    <font>
      <b/>
      <sz val="11"/>
      <color rgb="FFFFFFFF"/>
      <name val="Calibri"/>
    </font>
    <font>
      <b/>
      <sz val="14"/>
      <name val="Calibri"/>
    </font>
    <font>
      <i/>
      <sz val="9"/>
      <color rgb="FF666666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1"/>
      <color rgb="FFFFFFFF"/>
      <name val="Calibri"/>
    </font>
  </fonts>
  <fills count="32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D6DCE4"/>
        <bgColor rgb="FFD6DCE4"/>
      </patternFill>
    </fill>
    <fill>
      <patternFill patternType="solid">
        <fgColor rgb="FFFFFFCC"/>
        <bgColor rgb="FFFFFFCC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9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4" fontId="14" fillId="0" borderId="1" xfId="0" applyNumberFormat="1" applyFont="1" applyBorder="1" applyAlignment="1">
      <alignment horizontal="right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right" vertical="center" wrapText="1"/>
    </xf>
    <xf numFmtId="0" fontId="0" fillId="6" borderId="0" xfId="0" applyFill="1"/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7" borderId="0" xfId="0" applyFill="1" applyAlignment="1">
      <alignment horizontal="left" vertical="top" wrapText="1"/>
    </xf>
    <xf numFmtId="3" fontId="0" fillId="7" borderId="2" xfId="0" applyNumberFormat="1" applyFill="1" applyBorder="1" applyAlignment="1">
      <alignment horizontal="right" vertical="top"/>
    </xf>
    <xf numFmtId="164" fontId="0" fillId="7" borderId="0" xfId="0" applyNumberFormat="1" applyFill="1" applyAlignment="1">
      <alignment horizontal="right" vertical="top"/>
    </xf>
    <xf numFmtId="0" fontId="0" fillId="7" borderId="0" xfId="0" applyFill="1" applyAlignment="1">
      <alignment horizontal="right" vertical="top"/>
    </xf>
    <xf numFmtId="0" fontId="0" fillId="7" borderId="2" xfId="0" applyFill="1" applyBorder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3" fontId="0" fillId="8" borderId="2" xfId="0" applyNumberFormat="1" applyFill="1" applyBorder="1" applyAlignment="1">
      <alignment horizontal="right" vertical="top"/>
    </xf>
    <xf numFmtId="164" fontId="0" fillId="8" borderId="0" xfId="0" applyNumberFormat="1" applyFill="1" applyAlignment="1">
      <alignment horizontal="right" vertical="top"/>
    </xf>
    <xf numFmtId="0" fontId="0" fillId="8" borderId="0" xfId="0" applyFill="1" applyAlignment="1">
      <alignment horizontal="right" vertical="top"/>
    </xf>
    <xf numFmtId="0" fontId="0" fillId="8" borderId="2" xfId="0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3" fontId="0" fillId="6" borderId="2" xfId="0" applyNumberFormat="1" applyFill="1" applyBorder="1" applyAlignment="1">
      <alignment horizontal="right" vertical="top"/>
    </xf>
    <xf numFmtId="164" fontId="0" fillId="6" borderId="0" xfId="0" applyNumberFormat="1" applyFill="1" applyAlignment="1">
      <alignment horizontal="right" vertical="top"/>
    </xf>
    <xf numFmtId="0" fontId="0" fillId="6" borderId="0" xfId="0" applyFill="1" applyAlignment="1">
      <alignment horizontal="right" vertical="top"/>
    </xf>
    <xf numFmtId="0" fontId="0" fillId="6" borderId="2" xfId="0" applyFill="1" applyBorder="1" applyAlignment="1">
      <alignment horizontal="left" vertical="top" wrapText="1"/>
    </xf>
    <xf numFmtId="0" fontId="0" fillId="9" borderId="0" xfId="0" applyFill="1" applyAlignment="1">
      <alignment horizontal="left" vertical="top" wrapText="1"/>
    </xf>
    <xf numFmtId="3" fontId="0" fillId="9" borderId="2" xfId="0" applyNumberFormat="1" applyFill="1" applyBorder="1" applyAlignment="1">
      <alignment horizontal="right" vertical="top"/>
    </xf>
    <xf numFmtId="164" fontId="0" fillId="9" borderId="0" xfId="0" applyNumberFormat="1" applyFill="1" applyAlignment="1">
      <alignment horizontal="right" vertical="top"/>
    </xf>
    <xf numFmtId="0" fontId="0" fillId="9" borderId="0" xfId="0" applyFill="1" applyAlignment="1">
      <alignment horizontal="right" vertical="top"/>
    </xf>
    <xf numFmtId="0" fontId="0" fillId="9" borderId="2" xfId="0" applyFill="1" applyBorder="1" applyAlignment="1">
      <alignment horizontal="left" vertical="top" wrapText="1"/>
    </xf>
    <xf numFmtId="0" fontId="0" fillId="10" borderId="0" xfId="0" applyFill="1" applyAlignment="1">
      <alignment horizontal="left" vertical="top" wrapText="1"/>
    </xf>
    <xf numFmtId="3" fontId="0" fillId="10" borderId="2" xfId="0" applyNumberFormat="1" applyFill="1" applyBorder="1" applyAlignment="1">
      <alignment horizontal="right" vertical="top"/>
    </xf>
    <xf numFmtId="164" fontId="0" fillId="10" borderId="0" xfId="0" applyNumberFormat="1" applyFill="1" applyAlignment="1">
      <alignment horizontal="right" vertical="top"/>
    </xf>
    <xf numFmtId="0" fontId="0" fillId="10" borderId="0" xfId="0" applyFill="1" applyAlignment="1">
      <alignment horizontal="right" vertical="top"/>
    </xf>
    <xf numFmtId="0" fontId="0" fillId="10" borderId="2" xfId="0" applyFill="1" applyBorder="1" applyAlignment="1">
      <alignment horizontal="left" vertical="top" wrapText="1"/>
    </xf>
    <xf numFmtId="0" fontId="0" fillId="11" borderId="0" xfId="0" applyFill="1" applyAlignment="1">
      <alignment horizontal="left" vertical="top" wrapText="1"/>
    </xf>
    <xf numFmtId="3" fontId="0" fillId="11" borderId="2" xfId="0" applyNumberFormat="1" applyFill="1" applyBorder="1" applyAlignment="1">
      <alignment horizontal="right" vertical="top"/>
    </xf>
    <xf numFmtId="164" fontId="0" fillId="11" borderId="0" xfId="0" applyNumberFormat="1" applyFill="1" applyAlignment="1">
      <alignment horizontal="right" vertical="top"/>
    </xf>
    <xf numFmtId="0" fontId="0" fillId="11" borderId="0" xfId="0" applyFill="1" applyAlignment="1">
      <alignment horizontal="right" vertical="top"/>
    </xf>
    <xf numFmtId="0" fontId="0" fillId="11" borderId="2" xfId="0" applyFill="1" applyBorder="1" applyAlignment="1">
      <alignment horizontal="left" vertical="top" wrapText="1"/>
    </xf>
    <xf numFmtId="0" fontId="0" fillId="12" borderId="0" xfId="0" applyFill="1" applyAlignment="1">
      <alignment horizontal="left" vertical="top" wrapText="1"/>
    </xf>
    <xf numFmtId="3" fontId="0" fillId="12" borderId="2" xfId="0" applyNumberFormat="1" applyFill="1" applyBorder="1" applyAlignment="1">
      <alignment horizontal="right" vertical="top"/>
    </xf>
    <xf numFmtId="164" fontId="0" fillId="12" borderId="0" xfId="0" applyNumberFormat="1" applyFill="1" applyAlignment="1">
      <alignment horizontal="right" vertical="top"/>
    </xf>
    <xf numFmtId="0" fontId="0" fillId="12" borderId="0" xfId="0" applyFill="1" applyAlignment="1">
      <alignment horizontal="right" vertical="top"/>
    </xf>
    <xf numFmtId="0" fontId="0" fillId="12" borderId="2" xfId="0" applyFill="1" applyBorder="1" applyAlignment="1">
      <alignment horizontal="left" vertical="top" wrapText="1"/>
    </xf>
    <xf numFmtId="164" fontId="6" fillId="5" borderId="0" xfId="0" applyNumberFormat="1" applyFont="1" applyFill="1"/>
    <xf numFmtId="0" fontId="7" fillId="13" borderId="0" xfId="0" applyFont="1" applyFill="1"/>
    <xf numFmtId="164" fontId="16" fillId="2" borderId="0" xfId="0" applyNumberFormat="1" applyFont="1" applyFill="1"/>
    <xf numFmtId="0" fontId="17" fillId="0" borderId="0" xfId="0" applyFont="1"/>
    <xf numFmtId="0" fontId="18" fillId="14" borderId="5" xfId="0" applyFont="1" applyFill="1" applyBorder="1" applyAlignment="1">
      <alignment horizontal="center" wrapText="1"/>
    </xf>
    <xf numFmtId="0" fontId="0" fillId="0" borderId="5" xfId="0" applyBorder="1" applyAlignment="1">
      <alignment vertical="top" wrapText="1"/>
    </xf>
    <xf numFmtId="0" fontId="19" fillId="0" borderId="0" xfId="0" applyFont="1"/>
    <xf numFmtId="0" fontId="18" fillId="14" borderId="5" xfId="0" applyFont="1" applyFill="1" applyBorder="1"/>
    <xf numFmtId="0" fontId="0" fillId="0" borderId="5" xfId="0" applyBorder="1"/>
    <xf numFmtId="0" fontId="0" fillId="0" borderId="5" xfId="0" applyBorder="1" applyAlignment="1">
      <alignment wrapText="1"/>
    </xf>
    <xf numFmtId="0" fontId="19" fillId="15" borderId="0" xfId="0" applyFont="1" applyFill="1"/>
    <xf numFmtId="0" fontId="0" fillId="0" borderId="0" xfId="0" applyAlignment="1">
      <alignment wrapText="1"/>
    </xf>
    <xf numFmtId="0" fontId="20" fillId="15" borderId="0" xfId="0" applyFont="1" applyFill="1"/>
    <xf numFmtId="0" fontId="21" fillId="14" borderId="5" xfId="0" applyFont="1" applyFill="1" applyBorder="1"/>
    <xf numFmtId="0" fontId="0" fillId="16" borderId="5" xfId="0" applyFill="1" applyBorder="1" applyAlignment="1">
      <alignment wrapText="1"/>
    </xf>
    <xf numFmtId="0" fontId="21" fillId="14" borderId="5" xfId="0" applyFont="1" applyFill="1" applyBorder="1" applyAlignment="1">
      <alignment horizontal="center"/>
    </xf>
    <xf numFmtId="165" fontId="0" fillId="0" borderId="5" xfId="0" applyNumberFormat="1" applyBorder="1"/>
    <xf numFmtId="165" fontId="0" fillId="17" borderId="5" xfId="0" applyNumberFormat="1" applyFill="1" applyBorder="1"/>
    <xf numFmtId="0" fontId="20" fillId="15" borderId="5" xfId="0" applyFont="1" applyFill="1" applyBorder="1"/>
    <xf numFmtId="165" fontId="0" fillId="15" borderId="5" xfId="0" applyNumberFormat="1" applyFill="1" applyBorder="1"/>
    <xf numFmtId="165" fontId="21" fillId="14" borderId="5" xfId="0" applyNumberFormat="1" applyFont="1" applyFill="1" applyBorder="1"/>
    <xf numFmtId="0" fontId="0" fillId="16" borderId="5" xfId="0" applyFill="1" applyBorder="1"/>
    <xf numFmtId="0" fontId="20" fillId="0" borderId="0" xfId="0" applyFont="1" applyAlignment="1">
      <alignment horizontal="center"/>
    </xf>
    <xf numFmtId="3" fontId="0" fillId="0" borderId="5" xfId="0" applyNumberFormat="1" applyBorder="1"/>
    <xf numFmtId="3" fontId="0" fillId="17" borderId="5" xfId="0" applyNumberFormat="1" applyFill="1" applyBorder="1"/>
    <xf numFmtId="165" fontId="0" fillId="18" borderId="5" xfId="0" applyNumberFormat="1" applyFill="1" applyBorder="1"/>
    <xf numFmtId="0" fontId="20" fillId="0" borderId="5" xfId="0" applyFont="1" applyBorder="1"/>
    <xf numFmtId="165" fontId="20" fillId="18" borderId="5" xfId="0" applyNumberFormat="1" applyFont="1" applyFill="1" applyBorder="1"/>
    <xf numFmtId="165" fontId="0" fillId="19" borderId="5" xfId="0" applyNumberFormat="1" applyFill="1" applyBorder="1"/>
    <xf numFmtId="165" fontId="20" fillId="19" borderId="5" xfId="0" applyNumberFormat="1" applyFont="1" applyFill="1" applyBorder="1"/>
    <xf numFmtId="165" fontId="20" fillId="20" borderId="5" xfId="0" applyNumberFormat="1" applyFont="1" applyFill="1" applyBorder="1"/>
    <xf numFmtId="166" fontId="0" fillId="20" borderId="5" xfId="0" applyNumberFormat="1" applyFill="1" applyBorder="1"/>
    <xf numFmtId="166" fontId="0" fillId="17" borderId="5" xfId="0" applyNumberFormat="1" applyFill="1" applyBorder="1"/>
    <xf numFmtId="166" fontId="0" fillId="0" borderId="5" xfId="0" applyNumberFormat="1" applyBorder="1"/>
    <xf numFmtId="0" fontId="20" fillId="0" borderId="0" xfId="0" applyFont="1"/>
    <xf numFmtId="165" fontId="20" fillId="0" borderId="5" xfId="0" applyNumberFormat="1" applyFont="1" applyBorder="1"/>
    <xf numFmtId="167" fontId="0" fillId="0" borderId="5" xfId="0" applyNumberFormat="1" applyBorder="1"/>
    <xf numFmtId="167" fontId="0" fillId="17" borderId="5" xfId="0" applyNumberFormat="1" applyFill="1" applyBorder="1"/>
    <xf numFmtId="0" fontId="17" fillId="15" borderId="5" xfId="0" applyFont="1" applyFill="1" applyBorder="1"/>
    <xf numFmtId="165" fontId="20" fillId="17" borderId="5" xfId="0" applyNumberFormat="1" applyFont="1" applyFill="1" applyBorder="1"/>
    <xf numFmtId="165" fontId="0" fillId="20" borderId="5" xfId="0" applyNumberFormat="1" applyFill="1" applyBorder="1"/>
    <xf numFmtId="2" fontId="0" fillId="0" borderId="5" xfId="0" applyNumberFormat="1" applyBorder="1"/>
    <xf numFmtId="0" fontId="5" fillId="0" borderId="0" xfId="0" applyFont="1"/>
    <xf numFmtId="0" fontId="0" fillId="0" borderId="0" xfId="0" applyAlignment="1">
      <alignment horizontal="left" wrapText="1"/>
    </xf>
    <xf numFmtId="0" fontId="8" fillId="0" borderId="0" xfId="0" applyFont="1"/>
    <xf numFmtId="0" fontId="22" fillId="0" borderId="0" xfId="0" applyFont="1"/>
    <xf numFmtId="0" fontId="23" fillId="21" borderId="6" xfId="0" applyFont="1" applyFill="1" applyBorder="1"/>
    <xf numFmtId="0" fontId="0" fillId="0" borderId="6" xfId="0" applyBorder="1"/>
    <xf numFmtId="165" fontId="0" fillId="0" borderId="6" xfId="0" applyNumberFormat="1" applyBorder="1"/>
    <xf numFmtId="0" fontId="24" fillId="22" borderId="6" xfId="0" applyFont="1" applyFill="1" applyBorder="1"/>
    <xf numFmtId="165" fontId="24" fillId="22" borderId="6" xfId="0" applyNumberFormat="1" applyFont="1" applyFill="1" applyBorder="1"/>
    <xf numFmtId="0" fontId="24" fillId="0" borderId="5" xfId="0" applyFont="1" applyBorder="1"/>
    <xf numFmtId="165" fontId="0" fillId="23" borderId="5" xfId="0" applyNumberFormat="1" applyFill="1" applyBorder="1"/>
    <xf numFmtId="0" fontId="25" fillId="0" borderId="0" xfId="0" applyFont="1"/>
    <xf numFmtId="0" fontId="26" fillId="0" borderId="6" xfId="0" applyFont="1" applyBorder="1"/>
    <xf numFmtId="166" fontId="0" fillId="0" borderId="6" xfId="0" applyNumberFormat="1" applyBorder="1"/>
    <xf numFmtId="167" fontId="0" fillId="0" borderId="6" xfId="0" applyNumberFormat="1" applyBorder="1"/>
    <xf numFmtId="3" fontId="0" fillId="0" borderId="6" xfId="0" applyNumberFormat="1" applyBorder="1"/>
    <xf numFmtId="0" fontId="0" fillId="0" borderId="3" xfId="0" applyBorder="1"/>
    <xf numFmtId="0" fontId="0" fillId="0" borderId="4" xfId="0" applyBorder="1"/>
    <xf numFmtId="0" fontId="15" fillId="0" borderId="0" xfId="0" applyFont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0" fillId="24" borderId="0" xfId="0" applyFill="1"/>
    <xf numFmtId="0" fontId="30" fillId="0" borderId="0" xfId="0" applyFont="1"/>
    <xf numFmtId="0" fontId="37" fillId="0" borderId="0" xfId="0" applyFont="1"/>
    <xf numFmtId="0" fontId="34" fillId="0" borderId="0" xfId="0" applyFont="1"/>
    <xf numFmtId="0" fontId="35" fillId="25" borderId="0" xfId="0" applyFont="1" applyFill="1"/>
    <xf numFmtId="0" fontId="0" fillId="26" borderId="0" xfId="0" applyFill="1"/>
    <xf numFmtId="0" fontId="35" fillId="25" borderId="7" xfId="0" applyFont="1" applyFill="1" applyBorder="1"/>
    <xf numFmtId="0" fontId="0" fillId="27" borderId="7" xfId="0" applyFill="1" applyBorder="1"/>
    <xf numFmtId="0" fontId="0" fillId="0" borderId="7" xfId="0" applyBorder="1"/>
    <xf numFmtId="0" fontId="36" fillId="0" borderId="0" xfId="0" applyFont="1"/>
    <xf numFmtId="0" fontId="38" fillId="0" borderId="0" xfId="0" applyFont="1"/>
    <xf numFmtId="0" fontId="31" fillId="0" borderId="0" xfId="0" applyFont="1"/>
    <xf numFmtId="0" fontId="0" fillId="28" borderId="7" xfId="0" applyFill="1" applyBorder="1"/>
    <xf numFmtId="0" fontId="0" fillId="29" borderId="7" xfId="0" applyFill="1" applyBorder="1"/>
    <xf numFmtId="0" fontId="35" fillId="0" borderId="0" xfId="0" applyFont="1"/>
    <xf numFmtId="0" fontId="0" fillId="27" borderId="0" xfId="0" applyFill="1"/>
    <xf numFmtId="0" fontId="0" fillId="28" borderId="0" xfId="0" applyFill="1"/>
    <xf numFmtId="0" fontId="0" fillId="29" borderId="0" xfId="0" applyFill="1"/>
    <xf numFmtId="165" fontId="39" fillId="14" borderId="5" xfId="0" applyNumberFormat="1" applyFont="1" applyFill="1" applyBorder="1"/>
    <xf numFmtId="0" fontId="40" fillId="30" borderId="8" xfId="0" applyFont="1" applyFill="1" applyBorder="1" applyAlignment="1">
      <alignment horizontal="center"/>
    </xf>
    <xf numFmtId="0" fontId="0" fillId="31" borderId="8" xfId="0" applyFill="1" applyBorder="1" applyAlignment="1">
      <alignment horizontal="center"/>
    </xf>
    <xf numFmtId="0" fontId="33" fillId="0" borderId="0" xfId="0" applyFont="1"/>
    <xf numFmtId="0" fontId="0" fillId="0" borderId="0" xfId="0"/>
    <xf numFmtId="0" fontId="32" fillId="0" borderId="0" xfId="0" applyFont="1"/>
    <xf numFmtId="0" fontId="15" fillId="0" borderId="0" xfId="0" applyFont="1" applyAlignment="1">
      <alignment horizontal="left" vertical="center" wrapText="1"/>
    </xf>
    <xf numFmtId="0" fontId="10" fillId="0" borderId="0" xfId="0" applyFont="1"/>
    <xf numFmtId="0" fontId="12" fillId="4" borderId="8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3" fillId="0" borderId="0" xfId="0" applyFont="1"/>
    <xf numFmtId="0" fontId="2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Growth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'P&amp;L Dashboard'!$B$5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'P&amp;L Dashboard'!$A$6:$A$29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'P&amp;L Dashboard'!$B$6:$B$29</c:f>
              <c:numCache>
                <c:formatCode>"$"#,##0</c:formatCode>
                <c:ptCount val="24"/>
                <c:pt idx="0">
                  <c:v>25252</c:v>
                </c:pt>
                <c:pt idx="1">
                  <c:v>31565</c:v>
                </c:pt>
                <c:pt idx="2">
                  <c:v>37878</c:v>
                </c:pt>
                <c:pt idx="3">
                  <c:v>45871</c:v>
                </c:pt>
                <c:pt idx="4">
                  <c:v>52424</c:v>
                </c:pt>
                <c:pt idx="5">
                  <c:v>58977</c:v>
                </c:pt>
                <c:pt idx="6">
                  <c:v>65530</c:v>
                </c:pt>
                <c:pt idx="7">
                  <c:v>72083</c:v>
                </c:pt>
                <c:pt idx="8">
                  <c:v>78636</c:v>
                </c:pt>
                <c:pt idx="9">
                  <c:v>85189</c:v>
                </c:pt>
                <c:pt idx="10">
                  <c:v>91742</c:v>
                </c:pt>
                <c:pt idx="11">
                  <c:v>98295</c:v>
                </c:pt>
                <c:pt idx="12">
                  <c:v>124507</c:v>
                </c:pt>
                <c:pt idx="13">
                  <c:v>157272</c:v>
                </c:pt>
                <c:pt idx="14">
                  <c:v>196590</c:v>
                </c:pt>
                <c:pt idx="15">
                  <c:v>249014</c:v>
                </c:pt>
                <c:pt idx="16">
                  <c:v>307991</c:v>
                </c:pt>
                <c:pt idx="17">
                  <c:v>386627</c:v>
                </c:pt>
                <c:pt idx="18">
                  <c:v>491475</c:v>
                </c:pt>
                <c:pt idx="19">
                  <c:v>622535</c:v>
                </c:pt>
                <c:pt idx="20">
                  <c:v>786360</c:v>
                </c:pt>
                <c:pt idx="21">
                  <c:v>989503</c:v>
                </c:pt>
                <c:pt idx="22">
                  <c:v>1245070</c:v>
                </c:pt>
                <c:pt idx="23">
                  <c:v>1566167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9F-4699-A7E0-ABBDC42E1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Mix by Product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5478395061728391E-2"/>
          <c:y val="2.9398148148148149E-2"/>
          <c:w val="0.95688271604938269"/>
          <c:h val="0.93532407407407403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'P&amp;L Dashboard'!$C$5</c:f>
              <c:strCache>
                <c:ptCount val="1"/>
                <c:pt idx="0">
                  <c:v>Matching Engine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'P&amp;L Dashboard'!$A$6:$A$29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'P&amp;L Dashboard'!$C$6:$C$29</c:f>
              <c:numCache>
                <c:formatCode>"$"#,##0</c:formatCode>
                <c:ptCount val="24"/>
                <c:pt idx="0">
                  <c:v>1196</c:v>
                </c:pt>
                <c:pt idx="1">
                  <c:v>1495</c:v>
                </c:pt>
                <c:pt idx="2">
                  <c:v>1794</c:v>
                </c:pt>
                <c:pt idx="3">
                  <c:v>2093</c:v>
                </c:pt>
                <c:pt idx="4">
                  <c:v>2392</c:v>
                </c:pt>
                <c:pt idx="5">
                  <c:v>2691</c:v>
                </c:pt>
                <c:pt idx="6">
                  <c:v>2990</c:v>
                </c:pt>
                <c:pt idx="7">
                  <c:v>3289</c:v>
                </c:pt>
                <c:pt idx="8">
                  <c:v>3588</c:v>
                </c:pt>
                <c:pt idx="9">
                  <c:v>3887</c:v>
                </c:pt>
                <c:pt idx="10">
                  <c:v>4186</c:v>
                </c:pt>
                <c:pt idx="11">
                  <c:v>4485</c:v>
                </c:pt>
                <c:pt idx="12">
                  <c:v>5681</c:v>
                </c:pt>
                <c:pt idx="13">
                  <c:v>7176</c:v>
                </c:pt>
                <c:pt idx="14">
                  <c:v>8970</c:v>
                </c:pt>
                <c:pt idx="15">
                  <c:v>11362</c:v>
                </c:pt>
                <c:pt idx="16">
                  <c:v>14053</c:v>
                </c:pt>
                <c:pt idx="17">
                  <c:v>17641</c:v>
                </c:pt>
                <c:pt idx="18">
                  <c:v>22425</c:v>
                </c:pt>
                <c:pt idx="19">
                  <c:v>28405</c:v>
                </c:pt>
                <c:pt idx="20">
                  <c:v>35880</c:v>
                </c:pt>
                <c:pt idx="21">
                  <c:v>45149</c:v>
                </c:pt>
                <c:pt idx="22">
                  <c:v>56810</c:v>
                </c:pt>
                <c:pt idx="23">
                  <c:v>71461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3-4D07-8B7F-5E7B82A9FC39}"/>
            </c:ext>
          </c:extLst>
        </c:ser>
        <c:ser>
          <c:idx val="1"/>
          <c:order val="1"/>
          <c:tx>
            <c:strRef>
              <c:f>'P&amp;L Dashboard'!$D$5</c:f>
              <c:strCache>
                <c:ptCount val="1"/>
                <c:pt idx="0">
                  <c:v>Placements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'P&amp;L Dashboard'!$A$6:$A$29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'P&amp;L Dashboard'!$D$6:$D$29</c:f>
              <c:numCache>
                <c:formatCode>"$"#,##0</c:formatCode>
                <c:ptCount val="24"/>
                <c:pt idx="0">
                  <c:v>24000</c:v>
                </c:pt>
                <c:pt idx="1">
                  <c:v>30000</c:v>
                </c:pt>
                <c:pt idx="2">
                  <c:v>36000</c:v>
                </c:pt>
                <c:pt idx="3">
                  <c:v>42000</c:v>
                </c:pt>
                <c:pt idx="4">
                  <c:v>48000</c:v>
                </c:pt>
                <c:pt idx="5">
                  <c:v>54000</c:v>
                </c:pt>
                <c:pt idx="6">
                  <c:v>60000</c:v>
                </c:pt>
                <c:pt idx="7">
                  <c:v>66000</c:v>
                </c:pt>
                <c:pt idx="8">
                  <c:v>72000</c:v>
                </c:pt>
                <c:pt idx="9">
                  <c:v>78000</c:v>
                </c:pt>
                <c:pt idx="10">
                  <c:v>84000</c:v>
                </c:pt>
                <c:pt idx="11">
                  <c:v>90000</c:v>
                </c:pt>
                <c:pt idx="12">
                  <c:v>114000</c:v>
                </c:pt>
                <c:pt idx="13">
                  <c:v>144000</c:v>
                </c:pt>
                <c:pt idx="14">
                  <c:v>180000</c:v>
                </c:pt>
                <c:pt idx="15">
                  <c:v>228000</c:v>
                </c:pt>
                <c:pt idx="16">
                  <c:v>282000</c:v>
                </c:pt>
                <c:pt idx="17">
                  <c:v>354000</c:v>
                </c:pt>
                <c:pt idx="18">
                  <c:v>450000</c:v>
                </c:pt>
                <c:pt idx="19">
                  <c:v>570000</c:v>
                </c:pt>
                <c:pt idx="20">
                  <c:v>720000</c:v>
                </c:pt>
                <c:pt idx="21">
                  <c:v>906000</c:v>
                </c:pt>
                <c:pt idx="22">
                  <c:v>1140000</c:v>
                </c:pt>
                <c:pt idx="23">
                  <c:v>1434000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3-4D07-8B7F-5E7B82A9FC39}"/>
            </c:ext>
          </c:extLst>
        </c:ser>
        <c:ser>
          <c:idx val="2"/>
          <c:order val="2"/>
          <c:tx>
            <c:strRef>
              <c:f>'P&amp;L Dashboard'!$E$5</c:f>
              <c:strCache>
                <c:ptCount val="1"/>
                <c:pt idx="0">
                  <c:v>Add-ons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'P&amp;L Dashboard'!$A$6:$A$29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'P&amp;L Dashboard'!$E$6:$E$29</c:f>
              <c:numCache>
                <c:formatCode>"$"#,##0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1680</c:v>
                </c:pt>
                <c:pt idx="4">
                  <c:v>1920</c:v>
                </c:pt>
                <c:pt idx="5">
                  <c:v>2160</c:v>
                </c:pt>
                <c:pt idx="6">
                  <c:v>2400</c:v>
                </c:pt>
                <c:pt idx="7">
                  <c:v>2640</c:v>
                </c:pt>
                <c:pt idx="8">
                  <c:v>2879.9999999999995</c:v>
                </c:pt>
                <c:pt idx="9">
                  <c:v>3120</c:v>
                </c:pt>
                <c:pt idx="10">
                  <c:v>3360</c:v>
                </c:pt>
                <c:pt idx="11">
                  <c:v>3600</c:v>
                </c:pt>
                <c:pt idx="12">
                  <c:v>4560</c:v>
                </c:pt>
                <c:pt idx="13">
                  <c:v>5759.9999999999991</c:v>
                </c:pt>
                <c:pt idx="14">
                  <c:v>7200</c:v>
                </c:pt>
                <c:pt idx="15">
                  <c:v>9120</c:v>
                </c:pt>
                <c:pt idx="16">
                  <c:v>11280</c:v>
                </c:pt>
                <c:pt idx="17">
                  <c:v>14160</c:v>
                </c:pt>
                <c:pt idx="18">
                  <c:v>18000</c:v>
                </c:pt>
                <c:pt idx="19">
                  <c:v>22800</c:v>
                </c:pt>
                <c:pt idx="20">
                  <c:v>28800</c:v>
                </c:pt>
                <c:pt idx="21">
                  <c:v>36240</c:v>
                </c:pt>
                <c:pt idx="22">
                  <c:v>45600</c:v>
                </c:pt>
                <c:pt idx="23">
                  <c:v>57360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3-4D07-8B7F-5E7B82A9F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Margin Trends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1558641975308639E-2"/>
          <c:y val="2.05787037037037E-2"/>
          <c:w val="0.95688271604938269"/>
          <c:h val="0.93532407407407403"/>
        </c:manualLayout>
      </c:layout>
      <c:lineChart>
        <c:grouping val="standard"/>
        <c:varyColors val="1"/>
        <c:ser>
          <c:idx val="0"/>
          <c:order val="0"/>
          <c:tx>
            <c:strRef>
              <c:f>'P&amp;L Dashboard'!$J$5</c:f>
              <c:strCache>
                <c:ptCount val="1"/>
                <c:pt idx="0">
                  <c:v>Gross Margin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'P&amp;L Dashboard'!$A$6:$A$29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'P&amp;L Dashboard'!$J$6:$J$29</c:f>
              <c:numCache>
                <c:formatCode>0.0%</c:formatCode>
                <c:ptCount val="24"/>
                <c:pt idx="0">
                  <c:v>0.94614287977189926</c:v>
                </c:pt>
                <c:pt idx="1">
                  <c:v>0.94614287977189926</c:v>
                </c:pt>
                <c:pt idx="2">
                  <c:v>0.94614287977189926</c:v>
                </c:pt>
                <c:pt idx="3">
                  <c:v>0.94445292232565237</c:v>
                </c:pt>
                <c:pt idx="4">
                  <c:v>0.94445292232565237</c:v>
                </c:pt>
                <c:pt idx="5">
                  <c:v>0.94445292232565237</c:v>
                </c:pt>
                <c:pt idx="6">
                  <c:v>0.94445292232565237</c:v>
                </c:pt>
                <c:pt idx="7">
                  <c:v>0.94445292232565237</c:v>
                </c:pt>
                <c:pt idx="8">
                  <c:v>0.94445292232565237</c:v>
                </c:pt>
                <c:pt idx="9">
                  <c:v>0.94445292232565237</c:v>
                </c:pt>
                <c:pt idx="10">
                  <c:v>0.94445292232565237</c:v>
                </c:pt>
                <c:pt idx="11">
                  <c:v>0.94445292232565237</c:v>
                </c:pt>
                <c:pt idx="12">
                  <c:v>0.94445292232565237</c:v>
                </c:pt>
                <c:pt idx="13">
                  <c:v>0.94445292232565237</c:v>
                </c:pt>
                <c:pt idx="14">
                  <c:v>0.94445292232565237</c:v>
                </c:pt>
                <c:pt idx="15">
                  <c:v>0.94445292232565237</c:v>
                </c:pt>
                <c:pt idx="16">
                  <c:v>0.94445292232565237</c:v>
                </c:pt>
                <c:pt idx="17">
                  <c:v>0.94445292232565237</c:v>
                </c:pt>
                <c:pt idx="18">
                  <c:v>0.94445292232565237</c:v>
                </c:pt>
                <c:pt idx="19">
                  <c:v>0.94445292232565237</c:v>
                </c:pt>
                <c:pt idx="20">
                  <c:v>0.94445292232565237</c:v>
                </c:pt>
                <c:pt idx="21">
                  <c:v>0.94445292232565237</c:v>
                </c:pt>
                <c:pt idx="22">
                  <c:v>0.94445292232565237</c:v>
                </c:pt>
                <c:pt idx="23">
                  <c:v>0.94445292232565237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2F-4B06-9974-59B257FA1C61}"/>
            </c:ext>
          </c:extLst>
        </c:ser>
        <c:ser>
          <c:idx val="1"/>
          <c:order val="1"/>
          <c:tx>
            <c:strRef>
              <c:f>'P&amp;L Dashboard'!$K$5</c:f>
              <c:strCache>
                <c:ptCount val="1"/>
                <c:pt idx="0">
                  <c:v>Net Margin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'P&amp;L Dashboard'!$A$6:$A$29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'P&amp;L Dashboard'!$K$6:$K$29</c:f>
              <c:numCache>
                <c:formatCode>0.0%</c:formatCode>
                <c:ptCount val="24"/>
                <c:pt idx="0">
                  <c:v>0.19414303817519404</c:v>
                </c:pt>
                <c:pt idx="1">
                  <c:v>0.34454300649453506</c:v>
                </c:pt>
                <c:pt idx="2">
                  <c:v>0.31797701392188954</c:v>
                </c:pt>
                <c:pt idx="3">
                  <c:v>0.42574466075152778</c:v>
                </c:pt>
                <c:pt idx="4">
                  <c:v>0.49058319344829338</c:v>
                </c:pt>
                <c:pt idx="5">
                  <c:v>0.54101316332355553</c:v>
                </c:pt>
                <c:pt idx="6">
                  <c:v>0.56024314563304334</c:v>
                </c:pt>
                <c:pt idx="7">
                  <c:v>0.59517130715055322</c:v>
                </c:pt>
                <c:pt idx="8">
                  <c:v>0.62427810841514486</c:v>
                </c:pt>
                <c:pt idx="9">
                  <c:v>0.64890694025441464</c:v>
                </c:pt>
                <c:pt idx="10">
                  <c:v>0.67001736754521735</c:v>
                </c:pt>
                <c:pt idx="11">
                  <c:v>0.68831307119724638</c:v>
                </c:pt>
                <c:pt idx="12">
                  <c:v>0.72201568318782605</c:v>
                </c:pt>
                <c:pt idx="13">
                  <c:v>0.76835677467487318</c:v>
                </c:pt>
                <c:pt idx="14">
                  <c:v>0.80357600420502906</c:v>
                </c:pt>
                <c:pt idx="15">
                  <c:v>0.83323430275673915</c:v>
                </c:pt>
                <c:pt idx="16">
                  <c:v>0.85453148522738209</c:v>
                </c:pt>
                <c:pt idx="17">
                  <c:v>0.87282059107787779</c:v>
                </c:pt>
                <c:pt idx="18">
                  <c:v>0.88810215507740298</c:v>
                </c:pt>
                <c:pt idx="19">
                  <c:v>0.89996547449808717</c:v>
                </c:pt>
                <c:pt idx="20">
                  <c:v>0.9092336927954966</c:v>
                </c:pt>
                <c:pt idx="21">
                  <c:v>0.91646413064605836</c:v>
                </c:pt>
                <c:pt idx="22">
                  <c:v>0.92220919841186966</c:v>
                </c:pt>
                <c:pt idx="23">
                  <c:v>0.92676962716406786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12F-4B06-9974-59B257FA1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%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Net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'P&amp;L Dashboard'!$I$5</c:f>
              <c:strCache>
                <c:ptCount val="1"/>
                <c:pt idx="0">
                  <c:v>Net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'P&amp;L Dashboard'!$A$6:$A$29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'P&amp;L Dashboard'!$I$6:$I$29</c:f>
              <c:numCache>
                <c:formatCode>"$"#,##0</c:formatCode>
                <c:ptCount val="24"/>
                <c:pt idx="0">
                  <c:v>4902.5</c:v>
                </c:pt>
                <c:pt idx="1">
                  <c:v>10875.5</c:v>
                </c:pt>
                <c:pt idx="2">
                  <c:v>12044.333333333332</c:v>
                </c:pt>
                <c:pt idx="3">
                  <c:v>19529.333333333332</c:v>
                </c:pt>
                <c:pt idx="4">
                  <c:v>25718.333333333332</c:v>
                </c:pt>
                <c:pt idx="5">
                  <c:v>31907.333333333332</c:v>
                </c:pt>
                <c:pt idx="6">
                  <c:v>36712.73333333333</c:v>
                </c:pt>
                <c:pt idx="7">
                  <c:v>42901.73333333333</c:v>
                </c:pt>
                <c:pt idx="8">
                  <c:v>49090.73333333333</c:v>
                </c:pt>
                <c:pt idx="9">
                  <c:v>55279.73333333333</c:v>
                </c:pt>
                <c:pt idx="10">
                  <c:v>61468.73333333333</c:v>
                </c:pt>
                <c:pt idx="11">
                  <c:v>67657.733333333337</c:v>
                </c:pt>
                <c:pt idx="12">
                  <c:v>89896.006666666653</c:v>
                </c:pt>
                <c:pt idx="13">
                  <c:v>120841.00666666665</c:v>
                </c:pt>
                <c:pt idx="14">
                  <c:v>157975.00666666665</c:v>
                </c:pt>
                <c:pt idx="15">
                  <c:v>207487.00666666665</c:v>
                </c:pt>
                <c:pt idx="16">
                  <c:v>263188.00666666665</c:v>
                </c:pt>
                <c:pt idx="17">
                  <c:v>337456.00666666665</c:v>
                </c:pt>
                <c:pt idx="18">
                  <c:v>436480.00666666665</c:v>
                </c:pt>
                <c:pt idx="19">
                  <c:v>560260.00666666671</c:v>
                </c:pt>
                <c:pt idx="20">
                  <c:v>714985.00666666671</c:v>
                </c:pt>
                <c:pt idx="21">
                  <c:v>906844.00666666671</c:v>
                </c:pt>
                <c:pt idx="22">
                  <c:v>1148215.0066666666</c:v>
                </c:pt>
                <c:pt idx="23">
                  <c:v>1451476.0066666666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9-4AC0-8750-71E4DDD64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Profit ($)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Cash Position Over Time</a:t>
            </a:r>
          </a:p>
        </c:rich>
      </c:tx>
      <c:overlay val="1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'Cash Flow Dashboard'!$F$5</c:f>
              <c:strCache>
                <c:ptCount val="1"/>
                <c:pt idx="0">
                  <c:v>Ending Cash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'Cash Flow Dashboard'!$A$6:$A$29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'Cash Flow Dashboard'!$F$6:$F$29</c:f>
              <c:numCache>
                <c:formatCode>"$"#,##0</c:formatCode>
                <c:ptCount val="24"/>
                <c:pt idx="0">
                  <c:v>92624.5</c:v>
                </c:pt>
                <c:pt idx="1">
                  <c:v>95924.4</c:v>
                </c:pt>
                <c:pt idx="2">
                  <c:v>100077.48333333332</c:v>
                </c:pt>
                <c:pt idx="3">
                  <c:v>109719.91666666666</c:v>
                </c:pt>
                <c:pt idx="4">
                  <c:v>126591.69999999998</c:v>
                </c:pt>
                <c:pt idx="5">
                  <c:v>149324.83333333331</c:v>
                </c:pt>
                <c:pt idx="6">
                  <c:v>176535.71666666665</c:v>
                </c:pt>
                <c:pt idx="7">
                  <c:v>209607.94999999998</c:v>
                </c:pt>
                <c:pt idx="8">
                  <c:v>248541.5333333333</c:v>
                </c:pt>
                <c:pt idx="9">
                  <c:v>293336.46666666662</c:v>
                </c:pt>
                <c:pt idx="10">
                  <c:v>343992.74999999994</c:v>
                </c:pt>
                <c:pt idx="11">
                  <c:v>400510.38333333324</c:v>
                </c:pt>
                <c:pt idx="12">
                  <c:v>459279.6399999999</c:v>
                </c:pt>
                <c:pt idx="13">
                  <c:v>541130.29666666652</c:v>
                </c:pt>
                <c:pt idx="14">
                  <c:v>651923.70333333313</c:v>
                </c:pt>
                <c:pt idx="15">
                  <c:v>797157.20999999973</c:v>
                </c:pt>
                <c:pt idx="16">
                  <c:v>988917.51666666637</c:v>
                </c:pt>
                <c:pt idx="17">
                  <c:v>1232337.9733333332</c:v>
                </c:pt>
                <c:pt idx="18">
                  <c:v>1544638.63</c:v>
                </c:pt>
                <c:pt idx="19">
                  <c:v>1949264.8866666665</c:v>
                </c:pt>
                <c:pt idx="20">
                  <c:v>2469298.1433333331</c:v>
                </c:pt>
                <c:pt idx="21">
                  <c:v>3133681.1499999994</c:v>
                </c:pt>
                <c:pt idx="22">
                  <c:v>3976854.0066666659</c:v>
                </c:pt>
                <c:pt idx="23">
                  <c:v>5044979.5133333327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F-47B4-89FB-45BEB7383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$&quot;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Net Cash Flow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'Cash Flow Dashboard'!$E$5</c:f>
              <c:strCache>
                <c:ptCount val="1"/>
                <c:pt idx="0">
                  <c:v>Net Cash Flow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'Cash Flow Dashboard'!$A$6:$A$29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'Cash Flow Dashboard'!$E$6:$E$29</c:f>
              <c:numCache>
                <c:formatCode>"$"#,##0</c:formatCode>
                <c:ptCount val="24"/>
                <c:pt idx="0">
                  <c:v>-95349.5</c:v>
                </c:pt>
                <c:pt idx="1">
                  <c:v>3299.8999999999978</c:v>
                </c:pt>
                <c:pt idx="2">
                  <c:v>4153.0833333333321</c:v>
                </c:pt>
                <c:pt idx="3">
                  <c:v>9642.4333333333307</c:v>
                </c:pt>
                <c:pt idx="4">
                  <c:v>16871.783333333329</c:v>
                </c:pt>
                <c:pt idx="5">
                  <c:v>22733.133333333328</c:v>
                </c:pt>
                <c:pt idx="6">
                  <c:v>27210.883333333324</c:v>
                </c:pt>
                <c:pt idx="7">
                  <c:v>33072.23333333333</c:v>
                </c:pt>
                <c:pt idx="8">
                  <c:v>38933.583333333321</c:v>
                </c:pt>
                <c:pt idx="9">
                  <c:v>44794.933333333327</c:v>
                </c:pt>
                <c:pt idx="10">
                  <c:v>50656.283333333333</c:v>
                </c:pt>
                <c:pt idx="11">
                  <c:v>56517.633333333324</c:v>
                </c:pt>
                <c:pt idx="12">
                  <c:v>58769.256666666661</c:v>
                </c:pt>
                <c:pt idx="13">
                  <c:v>81850.656666666648</c:v>
                </c:pt>
                <c:pt idx="14">
                  <c:v>110793.40666666665</c:v>
                </c:pt>
                <c:pt idx="15">
                  <c:v>145233.50666666665</c:v>
                </c:pt>
                <c:pt idx="16">
                  <c:v>191760.30666666664</c:v>
                </c:pt>
                <c:pt idx="17">
                  <c:v>243420.45666666667</c:v>
                </c:pt>
                <c:pt idx="18">
                  <c:v>312300.65666666662</c:v>
                </c:pt>
                <c:pt idx="19">
                  <c:v>404626.25666666665</c:v>
                </c:pt>
                <c:pt idx="20">
                  <c:v>520033.25666666665</c:v>
                </c:pt>
                <c:pt idx="21">
                  <c:v>664383.0066666666</c:v>
                </c:pt>
                <c:pt idx="22">
                  <c:v>843172.85666666669</c:v>
                </c:pt>
                <c:pt idx="23">
                  <c:v>1068125.5066666666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8-4A6B-9D39-1E1DDBB3A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Cash Flow ($)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3008240740740744"/>
          <c:y val="4.2256712962962961E-2"/>
          <c:w val="6.9917592592592587E-2"/>
          <c:h val="0.90372708333333329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Cash Inflows vs Outflows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'Cash Flow Dashboard'!$C$5</c:f>
              <c:strCache>
                <c:ptCount val="1"/>
                <c:pt idx="0">
                  <c:v>Cash Inflows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'Cash Flow Dashboard'!$A$6:$A$29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'Cash Flow Dashboard'!$C$6:$C$29</c:f>
              <c:numCache>
                <c:formatCode>"$"#,##0</c:formatCode>
                <c:ptCount val="24"/>
                <c:pt idx="0">
                  <c:v>0</c:v>
                </c:pt>
                <c:pt idx="1">
                  <c:v>23989.399999999998</c:v>
                </c:pt>
                <c:pt idx="2">
                  <c:v>29986.75</c:v>
                </c:pt>
                <c:pt idx="3">
                  <c:v>35984.1</c:v>
                </c:pt>
                <c:pt idx="4">
                  <c:v>43577.45</c:v>
                </c:pt>
                <c:pt idx="5">
                  <c:v>49802.799999999996</c:v>
                </c:pt>
                <c:pt idx="6">
                  <c:v>56028.149999999994</c:v>
                </c:pt>
                <c:pt idx="7">
                  <c:v>62253.5</c:v>
                </c:pt>
                <c:pt idx="8">
                  <c:v>68478.849999999991</c:v>
                </c:pt>
                <c:pt idx="9">
                  <c:v>74704.2</c:v>
                </c:pt>
                <c:pt idx="10">
                  <c:v>80929.55</c:v>
                </c:pt>
                <c:pt idx="11">
                  <c:v>87154.9</c:v>
                </c:pt>
                <c:pt idx="12">
                  <c:v>93380.25</c:v>
                </c:pt>
                <c:pt idx="13">
                  <c:v>118281.65</c:v>
                </c:pt>
                <c:pt idx="14">
                  <c:v>149408.4</c:v>
                </c:pt>
                <c:pt idx="15">
                  <c:v>186760.5</c:v>
                </c:pt>
                <c:pt idx="16">
                  <c:v>236563.3</c:v>
                </c:pt>
                <c:pt idx="17">
                  <c:v>292591.45</c:v>
                </c:pt>
                <c:pt idx="18">
                  <c:v>367295.64999999997</c:v>
                </c:pt>
                <c:pt idx="19">
                  <c:v>466901.25</c:v>
                </c:pt>
                <c:pt idx="20">
                  <c:v>591408.25</c:v>
                </c:pt>
                <c:pt idx="21">
                  <c:v>747042</c:v>
                </c:pt>
                <c:pt idx="22">
                  <c:v>940027.85</c:v>
                </c:pt>
                <c:pt idx="23">
                  <c:v>1182816.5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E-4848-B214-CA9AD9A51EFF}"/>
            </c:ext>
          </c:extLst>
        </c:ser>
        <c:ser>
          <c:idx val="1"/>
          <c:order val="1"/>
          <c:tx>
            <c:strRef>
              <c:f>'Cash Flow Dashboard'!$D$5</c:f>
              <c:strCache>
                <c:ptCount val="1"/>
                <c:pt idx="0">
                  <c:v>Cash Outflows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'Cash Flow Dashboard'!$A$6:$A$29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'Cash Flow Dashboard'!$D$6:$D$29</c:f>
              <c:numCache>
                <c:formatCode>"$"#,##0</c:formatCode>
                <c:ptCount val="24"/>
                <c:pt idx="0">
                  <c:v>95349.5</c:v>
                </c:pt>
                <c:pt idx="1">
                  <c:v>20689.5</c:v>
                </c:pt>
                <c:pt idx="2">
                  <c:v>25833.666666666668</c:v>
                </c:pt>
                <c:pt idx="3">
                  <c:v>26341.666666666668</c:v>
                </c:pt>
                <c:pt idx="4">
                  <c:v>26705.666666666668</c:v>
                </c:pt>
                <c:pt idx="5">
                  <c:v>27069.666666666668</c:v>
                </c:pt>
                <c:pt idx="6">
                  <c:v>28817.26666666667</c:v>
                </c:pt>
                <c:pt idx="7">
                  <c:v>29181.26666666667</c:v>
                </c:pt>
                <c:pt idx="8">
                  <c:v>29545.26666666667</c:v>
                </c:pt>
                <c:pt idx="9">
                  <c:v>29909.26666666667</c:v>
                </c:pt>
                <c:pt idx="10">
                  <c:v>30273.26666666667</c:v>
                </c:pt>
                <c:pt idx="11">
                  <c:v>30637.26666666667</c:v>
                </c:pt>
                <c:pt idx="12">
                  <c:v>34610.993333333339</c:v>
                </c:pt>
                <c:pt idx="13">
                  <c:v>36430.993333333339</c:v>
                </c:pt>
                <c:pt idx="14">
                  <c:v>38614.993333333339</c:v>
                </c:pt>
                <c:pt idx="15">
                  <c:v>41526.993333333339</c:v>
                </c:pt>
                <c:pt idx="16">
                  <c:v>44802.993333333339</c:v>
                </c:pt>
                <c:pt idx="17">
                  <c:v>49170.993333333339</c:v>
                </c:pt>
                <c:pt idx="18">
                  <c:v>54994.993333333339</c:v>
                </c:pt>
                <c:pt idx="19">
                  <c:v>62274.993333333339</c:v>
                </c:pt>
                <c:pt idx="20">
                  <c:v>71374.993333333347</c:v>
                </c:pt>
                <c:pt idx="21">
                  <c:v>82658.993333333347</c:v>
                </c:pt>
                <c:pt idx="22">
                  <c:v>96854.993333333347</c:v>
                </c:pt>
                <c:pt idx="23">
                  <c:v>114690.99333333335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DE-4848-B214-CA9AD9A51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5.3362420300516557E-2"/>
          <c:y val="5.5654481856161939E-2"/>
          <c:w val="0.13703749470209919"/>
          <c:h val="0.1476112788724054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Runway (Months Remaining)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'Cash Flow Dashboard'!$G$5</c:f>
              <c:strCache>
                <c:ptCount val="1"/>
                <c:pt idx="0">
                  <c:v>Runway (Months)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'Cash Flow Dashboard'!$A$6:$A$29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'Cash Flow Dashboard'!$G$6:$G$29</c:f>
              <c:numCache>
                <c:formatCode>0.0</c:formatCode>
                <c:ptCount val="24"/>
                <c:pt idx="0">
                  <c:v>4.8776692382632509</c:v>
                </c:pt>
                <c:pt idx="1">
                  <c:v>5.0514442191737539</c:v>
                </c:pt>
                <c:pt idx="2">
                  <c:v>4.2060555329849674</c:v>
                </c:pt>
                <c:pt idx="3">
                  <c:v>4.5174020846819101</c:v>
                </c:pt>
                <c:pt idx="4">
                  <c:v>4.8145320165819392</c:v>
                </c:pt>
                <c:pt idx="5">
                  <c:v>5.5915036758740335</c:v>
                </c:pt>
                <c:pt idx="6">
                  <c:v>6.4122833038310922</c:v>
                </c:pt>
                <c:pt idx="7">
                  <c:v>7.3919966568000719</c:v>
                </c:pt>
                <c:pt idx="8">
                  <c:v>8.5171605527747225</c:v>
                </c:pt>
                <c:pt idx="9">
                  <c:v>9.9283743137648628</c:v>
                </c:pt>
                <c:pt idx="10">
                  <c:v>11.501209769993242</c:v>
                </c:pt>
                <c:pt idx="11">
                  <c:v>13.229836995897365</c:v>
                </c:pt>
                <c:pt idx="12">
                  <c:v>14.424381268613166</c:v>
                </c:pt>
                <c:pt idx="13">
                  <c:v>15.965802627189492</c:v>
                </c:pt>
                <c:pt idx="14">
                  <c:v>17.835354484502485</c:v>
                </c:pt>
                <c:pt idx="15">
                  <c:v>20.51480222947032</c:v>
                </c:pt>
                <c:pt idx="16">
                  <c:v>23.744471766692818</c:v>
                </c:pt>
                <c:pt idx="17">
                  <c:v>27.284038240904227</c:v>
                </c:pt>
                <c:pt idx="18">
                  <c:v>31.106582659020688</c:v>
                </c:pt>
                <c:pt idx="19">
                  <c:v>35.134344078002904</c:v>
                </c:pt>
                <c:pt idx="20">
                  <c:v>39.268971959921743</c:v>
                </c:pt>
                <c:pt idx="21">
                  <c:v>43.461179697671341</c:v>
                </c:pt>
                <c:pt idx="22">
                  <c:v>47.553152872637114</c:v>
                </c:pt>
                <c:pt idx="23">
                  <c:v>51.443515809963507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48-42E2-902D-347961D6D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Active Carriers Growth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'Growth Metrics'!$B$5</c:f>
              <c:strCache>
                <c:ptCount val="1"/>
                <c:pt idx="0">
                  <c:v>Active Carriers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'Growth Metrics'!$A$6:$A$29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'Growth Metrics'!$B$6:$B$29</c:f>
              <c:numCache>
                <c:formatCode>#,##0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19</c:v>
                </c:pt>
                <c:pt idx="13">
                  <c:v>24</c:v>
                </c:pt>
                <c:pt idx="14">
                  <c:v>30</c:v>
                </c:pt>
                <c:pt idx="15">
                  <c:v>38</c:v>
                </c:pt>
                <c:pt idx="16">
                  <c:v>47</c:v>
                </c:pt>
                <c:pt idx="17">
                  <c:v>59</c:v>
                </c:pt>
                <c:pt idx="18">
                  <c:v>75</c:v>
                </c:pt>
                <c:pt idx="19">
                  <c:v>95</c:v>
                </c:pt>
                <c:pt idx="20">
                  <c:v>120</c:v>
                </c:pt>
                <c:pt idx="21">
                  <c:v>151</c:v>
                </c:pt>
                <c:pt idx="22">
                  <c:v>190</c:v>
                </c:pt>
                <c:pt idx="23">
                  <c:v>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F2-435C-AEBE-A66E65B29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Carriers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New Carriers Added Per Month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'Growth Metrics'!$C$5</c:f>
              <c:strCache>
                <c:ptCount val="1"/>
                <c:pt idx="0">
                  <c:v>New Carriers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'Growth Metrics'!$A$6:$A$29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'Growth Metrics'!$C$6:$C$29</c:f>
              <c:numCache>
                <c:formatCode>#,##0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12</c:v>
                </c:pt>
                <c:pt idx="18">
                  <c:v>16</c:v>
                </c:pt>
                <c:pt idx="19">
                  <c:v>20</c:v>
                </c:pt>
                <c:pt idx="20">
                  <c:v>25</c:v>
                </c:pt>
                <c:pt idx="21">
                  <c:v>31</c:v>
                </c:pt>
                <c:pt idx="22">
                  <c:v>39</c:v>
                </c:pt>
                <c:pt idx="2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6-42BE-AEC7-FD1161372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New Carriers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Revenue Per Carrier (ARPU)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'Growth Metrics'!$E$5</c:f>
              <c:strCache>
                <c:ptCount val="1"/>
                <c:pt idx="0">
                  <c:v>Revenue/Carrier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'Growth Metrics'!$A$6:$A$29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'Growth Metrics'!$E$6:$E$29</c:f>
              <c:numCache>
                <c:formatCode>"$"#,##0</c:formatCode>
                <c:ptCount val="24"/>
                <c:pt idx="0">
                  <c:v>6313</c:v>
                </c:pt>
                <c:pt idx="1">
                  <c:v>6313</c:v>
                </c:pt>
                <c:pt idx="2">
                  <c:v>6313</c:v>
                </c:pt>
                <c:pt idx="3">
                  <c:v>6553</c:v>
                </c:pt>
                <c:pt idx="4">
                  <c:v>6553</c:v>
                </c:pt>
                <c:pt idx="5">
                  <c:v>6553</c:v>
                </c:pt>
                <c:pt idx="6">
                  <c:v>6553</c:v>
                </c:pt>
                <c:pt idx="7">
                  <c:v>6553</c:v>
                </c:pt>
                <c:pt idx="8">
                  <c:v>6553</c:v>
                </c:pt>
                <c:pt idx="9">
                  <c:v>6553</c:v>
                </c:pt>
                <c:pt idx="10">
                  <c:v>6553</c:v>
                </c:pt>
                <c:pt idx="11">
                  <c:v>6553</c:v>
                </c:pt>
                <c:pt idx="12">
                  <c:v>6553</c:v>
                </c:pt>
                <c:pt idx="13">
                  <c:v>6553</c:v>
                </c:pt>
                <c:pt idx="14">
                  <c:v>6553</c:v>
                </c:pt>
                <c:pt idx="15">
                  <c:v>6553</c:v>
                </c:pt>
                <c:pt idx="16">
                  <c:v>6553</c:v>
                </c:pt>
                <c:pt idx="17">
                  <c:v>6553</c:v>
                </c:pt>
                <c:pt idx="18">
                  <c:v>6553</c:v>
                </c:pt>
                <c:pt idx="19">
                  <c:v>6553</c:v>
                </c:pt>
                <c:pt idx="20">
                  <c:v>6553</c:v>
                </c:pt>
                <c:pt idx="21">
                  <c:v>6553</c:v>
                </c:pt>
                <c:pt idx="22">
                  <c:v>6553</c:v>
                </c:pt>
                <c:pt idx="23">
                  <c:v>6553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BF-4CED-8740-61A79DE99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Revenue/Carrier ($)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Placements</a:t>
            </a:r>
          </a:p>
        </c:rich>
      </c:tx>
      <c:overlay val="1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'Growth Metrics'!$F$5</c:f>
              <c:strCache>
                <c:ptCount val="1"/>
                <c:pt idx="0">
                  <c:v>Placements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'Growth Metrics'!$A$6:$A$29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'Growth Metrics'!$F$6:$F$29</c:f>
              <c:numCache>
                <c:formatCode>0.0</c:formatCode>
                <c:ptCount val="24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95</c:v>
                </c:pt>
                <c:pt idx="13">
                  <c:v>120</c:v>
                </c:pt>
                <c:pt idx="14">
                  <c:v>150</c:v>
                </c:pt>
                <c:pt idx="15">
                  <c:v>190</c:v>
                </c:pt>
                <c:pt idx="16">
                  <c:v>235</c:v>
                </c:pt>
                <c:pt idx="17">
                  <c:v>295</c:v>
                </c:pt>
                <c:pt idx="18">
                  <c:v>375</c:v>
                </c:pt>
                <c:pt idx="19">
                  <c:v>475</c:v>
                </c:pt>
                <c:pt idx="20">
                  <c:v>600</c:v>
                </c:pt>
                <c:pt idx="21">
                  <c:v>755</c:v>
                </c:pt>
                <c:pt idx="22">
                  <c:v>950</c:v>
                </c:pt>
                <c:pt idx="23">
                  <c:v>1195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3-48CC-9352-4C4DFBC19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Operating Expenses by Category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Assumptions!$H$66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Assumptions!$G$67:$G$71</c:f>
              <c:strCache>
                <c:ptCount val="5"/>
                <c:pt idx="0">
                  <c:v>Technology</c:v>
                </c:pt>
                <c:pt idx="1">
                  <c:v>Personnel</c:v>
                </c:pt>
                <c:pt idx="2">
                  <c:v>Marketing</c:v>
                </c:pt>
                <c:pt idx="3">
                  <c:v>Legal &amp; Compliance</c:v>
                </c:pt>
                <c:pt idx="4">
                  <c:v>G&amp;A</c:v>
                </c:pt>
              </c:strCache>
            </c:strRef>
          </c:cat>
          <c:val>
            <c:numRef>
              <c:f>Assumptions!$H$67:$H$71</c:f>
              <c:numCache>
                <c:formatCode>General</c:formatCode>
                <c:ptCount val="5"/>
                <c:pt idx="0">
                  <c:v>1850</c:v>
                </c:pt>
                <c:pt idx="1">
                  <c:v>3900</c:v>
                </c:pt>
                <c:pt idx="2">
                  <c:v>8500</c:v>
                </c:pt>
                <c:pt idx="3">
                  <c:v>1150</c:v>
                </c:pt>
                <c:pt idx="4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1-4EA8-AD8B-0865FF4BF9BB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1.2737874886360769E-2"/>
          <c:y val="0.38801710460349759"/>
          <c:w val="0.17756999872278059"/>
          <c:h val="0.3048513888888889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Marketing Budget Allocation ($8.5K/month)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Assumptions!$H$76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Assumptions!$G$77:$G$79</c:f>
              <c:strCache>
                <c:ptCount val="3"/>
                <c:pt idx="0">
                  <c:v>Carrier Sales/Outreach</c:v>
                </c:pt>
                <c:pt idx="1">
                  <c:v>Driver Marketing</c:v>
                </c:pt>
                <c:pt idx="2">
                  <c:v>Content &amp; Brand</c:v>
                </c:pt>
              </c:strCache>
            </c:strRef>
          </c:cat>
          <c:val>
            <c:numRef>
              <c:f>Assumptions!$H$77:$H$79</c:f>
              <c:numCache>
                <c:formatCode>General</c:formatCode>
                <c:ptCount val="3"/>
                <c:pt idx="0">
                  <c:v>5000</c:v>
                </c:pt>
                <c:pt idx="1">
                  <c:v>3000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E-4646-AD11-BA1B4302355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4628541862778697"/>
          <c:y val="7.5929721192132718E-2"/>
          <c:w val="0.2267842640169366"/>
          <c:h val="0.1410290369251956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per Carrier (Monthly)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Assumptions!$H$84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Assumptions!$G$85:$G$88</c:f>
              <c:strCache>
                <c:ptCount val="4"/>
                <c:pt idx="0">
                  <c:v>Placement Services</c:v>
                </c:pt>
                <c:pt idx="1">
                  <c:v>Matching Engine Sub</c:v>
                </c:pt>
                <c:pt idx="2">
                  <c:v>Add-on Products</c:v>
                </c:pt>
                <c:pt idx="3">
                  <c:v>Overage Revenue</c:v>
                </c:pt>
              </c:strCache>
            </c:strRef>
          </c:cat>
          <c:val>
            <c:numRef>
              <c:f>Assumptions!$H$85:$H$88</c:f>
              <c:numCache>
                <c:formatCode>General</c:formatCode>
                <c:ptCount val="4"/>
                <c:pt idx="0">
                  <c:v>6000</c:v>
                </c:pt>
                <c:pt idx="1">
                  <c:v>299</c:v>
                </c:pt>
                <c:pt idx="2">
                  <c:v>240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6-43B1-9A53-E783BA9810A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45"/>
      </c:doughnutChart>
    </c:plotArea>
    <c:legend>
      <c:legendPos val="r"/>
      <c:layout>
        <c:manualLayout>
          <c:xMode val="edge"/>
          <c:yMode val="edge"/>
          <c:x val="0.78595833638653523"/>
          <c:y val="0.1727896975534485"/>
          <c:w val="0.20407789563965109"/>
          <c:h val="0.1861165285770030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238125</xdr:colOff>
      <xdr:row>11</xdr:row>
      <xdr:rowOff>142874</xdr:rowOff>
    </xdr:from>
    <xdr:ext cx="6480000" cy="8048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26</xdr:col>
      <xdr:colOff>242887</xdr:colOff>
      <xdr:row>4</xdr:row>
      <xdr:rowOff>180974</xdr:rowOff>
    </xdr:from>
    <xdr:ext cx="7391400" cy="47529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26</xdr:col>
      <xdr:colOff>261937</xdr:colOff>
      <xdr:row>34</xdr:row>
      <xdr:rowOff>90488</xdr:rowOff>
    </xdr:from>
    <xdr:ext cx="11049000" cy="641032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452438</xdr:colOff>
      <xdr:row>34</xdr:row>
      <xdr:rowOff>95249</xdr:rowOff>
    </xdr:from>
    <xdr:ext cx="9953624" cy="862012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714375</xdr:colOff>
      <xdr:row>0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19</xdr:col>
      <xdr:colOff>346364</xdr:colOff>
      <xdr:row>13</xdr:row>
      <xdr:rowOff>155864</xdr:rowOff>
    </xdr:from>
    <xdr:ext cx="8416636" cy="730827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3827318</xdr:colOff>
      <xdr:row>31</xdr:row>
      <xdr:rowOff>103909</xdr:rowOff>
    </xdr:from>
    <xdr:ext cx="8659090" cy="491836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640773</xdr:colOff>
      <xdr:row>48</xdr:row>
      <xdr:rowOff>51954</xdr:rowOff>
    </xdr:from>
    <xdr:ext cx="648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554181</xdr:colOff>
      <xdr:row>4</xdr:row>
      <xdr:rowOff>51954</xdr:rowOff>
    </xdr:from>
    <xdr:ext cx="648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865909</xdr:colOff>
      <xdr:row>30</xdr:row>
      <xdr:rowOff>121227</xdr:rowOff>
    </xdr:from>
    <xdr:ext cx="648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19</xdr:col>
      <xdr:colOff>17318</xdr:colOff>
      <xdr:row>30</xdr:row>
      <xdr:rowOff>17318</xdr:rowOff>
    </xdr:from>
    <xdr:ext cx="648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962025</xdr:colOff>
      <xdr:row>3</xdr:row>
      <xdr:rowOff>152399</xdr:rowOff>
    </xdr:from>
    <xdr:ext cx="6905626" cy="4238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207816</xdr:colOff>
      <xdr:row>25</xdr:row>
      <xdr:rowOff>51955</xdr:rowOff>
    </xdr:from>
    <xdr:ext cx="6130637" cy="4885228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18</xdr:col>
      <xdr:colOff>363680</xdr:colOff>
      <xdr:row>25</xdr:row>
      <xdr:rowOff>0</xdr:rowOff>
    </xdr:from>
    <xdr:ext cx="6373091" cy="4935682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opLeftCell="G18" zoomScale="70" zoomScaleNormal="70" workbookViewId="0">
      <selection activeCell="I8" sqref="I8"/>
    </sheetView>
  </sheetViews>
  <sheetFormatPr defaultRowHeight="15" x14ac:dyDescent="0.25"/>
  <cols>
    <col min="1" max="1" width="8" customWidth="1"/>
    <col min="2" max="11" width="15" customWidth="1"/>
  </cols>
  <sheetData>
    <row r="1" spans="1:11" ht="21" customHeight="1" x14ac:dyDescent="0.35">
      <c r="A1" s="104" t="s">
        <v>0</v>
      </c>
    </row>
    <row r="2" spans="1:11" x14ac:dyDescent="0.25">
      <c r="A2" t="s">
        <v>1</v>
      </c>
    </row>
    <row r="5" spans="1:11" ht="15.75" customHeight="1" x14ac:dyDescent="0.25">
      <c r="A5" s="105" t="s">
        <v>2</v>
      </c>
      <c r="B5" s="105" t="s">
        <v>3</v>
      </c>
      <c r="C5" s="105" t="s">
        <v>4</v>
      </c>
      <c r="D5" s="105" t="s">
        <v>5</v>
      </c>
      <c r="E5" s="105" t="s">
        <v>6</v>
      </c>
      <c r="F5" s="105" t="s">
        <v>7</v>
      </c>
      <c r="G5" s="105" t="s">
        <v>8</v>
      </c>
      <c r="H5" s="105" t="s">
        <v>9</v>
      </c>
      <c r="I5" s="105" t="s">
        <v>10</v>
      </c>
      <c r="J5" s="105" t="s">
        <v>11</v>
      </c>
      <c r="K5" s="105" t="s">
        <v>12</v>
      </c>
    </row>
    <row r="6" spans="1:11" x14ac:dyDescent="0.25">
      <c r="A6" s="98" t="s">
        <v>13</v>
      </c>
      <c r="B6" s="99">
        <f>'P&amp;L'!C33</f>
        <v>25252</v>
      </c>
      <c r="C6" s="99">
        <f>'P&amp;L'!C29</f>
        <v>1196</v>
      </c>
      <c r="D6" s="99">
        <f>'P&amp;L'!C30</f>
        <v>24000</v>
      </c>
      <c r="E6" s="99">
        <f>'P&amp;L'!C31</f>
        <v>0</v>
      </c>
      <c r="F6" s="99">
        <f>'P&amp;L'!C37</f>
        <v>1360</v>
      </c>
      <c r="G6" s="99">
        <f>'P&amp;L'!C38</f>
        <v>23892</v>
      </c>
      <c r="H6" s="99">
        <f>'P&amp;L'!C40</f>
        <v>18989.5</v>
      </c>
      <c r="I6" s="99">
        <f>'P&amp;L'!C41</f>
        <v>4902.5</v>
      </c>
      <c r="J6" s="106">
        <f>'P&amp;L'!C39</f>
        <v>0.94614287977189926</v>
      </c>
      <c r="K6" s="106">
        <f>'P&amp;L'!C42</f>
        <v>0.19414303817519404</v>
      </c>
    </row>
    <row r="7" spans="1:11" x14ac:dyDescent="0.25">
      <c r="A7" s="98" t="s">
        <v>14</v>
      </c>
      <c r="B7" s="99">
        <f>'P&amp;L'!D33</f>
        <v>31565</v>
      </c>
      <c r="C7" s="99">
        <f>'P&amp;L'!D29</f>
        <v>1495</v>
      </c>
      <c r="D7" s="99">
        <f>'P&amp;L'!D30</f>
        <v>30000</v>
      </c>
      <c r="E7" s="99">
        <f>'P&amp;L'!D31</f>
        <v>0</v>
      </c>
      <c r="F7" s="99">
        <f>'P&amp;L'!D37</f>
        <v>1700</v>
      </c>
      <c r="G7" s="99">
        <f>'P&amp;L'!D38</f>
        <v>29865</v>
      </c>
      <c r="H7" s="99">
        <f>'P&amp;L'!D40</f>
        <v>18989.5</v>
      </c>
      <c r="I7" s="99">
        <f>'P&amp;L'!D41</f>
        <v>10875.5</v>
      </c>
      <c r="J7" s="106">
        <f>'P&amp;L'!D39</f>
        <v>0.94614287977189926</v>
      </c>
      <c r="K7" s="106">
        <f>'P&amp;L'!D42</f>
        <v>0.34454300649453506</v>
      </c>
    </row>
    <row r="8" spans="1:11" x14ac:dyDescent="0.25">
      <c r="A8" s="98" t="s">
        <v>15</v>
      </c>
      <c r="B8" s="99">
        <f>'P&amp;L'!E33</f>
        <v>37878</v>
      </c>
      <c r="C8" s="99">
        <f>'P&amp;L'!E29</f>
        <v>1794</v>
      </c>
      <c r="D8" s="99">
        <f>'P&amp;L'!E30</f>
        <v>36000</v>
      </c>
      <c r="E8" s="99">
        <f>'P&amp;L'!E31</f>
        <v>0</v>
      </c>
      <c r="F8" s="99">
        <f>'P&amp;L'!E37</f>
        <v>2040</v>
      </c>
      <c r="G8" s="99">
        <f>'P&amp;L'!E38</f>
        <v>35838</v>
      </c>
      <c r="H8" s="99">
        <f>'P&amp;L'!E40</f>
        <v>23793.666666666668</v>
      </c>
      <c r="I8" s="99">
        <f>'P&amp;L'!E41</f>
        <v>12044.333333333332</v>
      </c>
      <c r="J8" s="106">
        <f>'P&amp;L'!E39</f>
        <v>0.94614287977189926</v>
      </c>
      <c r="K8" s="106">
        <f>'P&amp;L'!E42</f>
        <v>0.31797701392188954</v>
      </c>
    </row>
    <row r="9" spans="1:11" x14ac:dyDescent="0.25">
      <c r="A9" s="98" t="s">
        <v>16</v>
      </c>
      <c r="B9" s="99">
        <f>'P&amp;L'!F33</f>
        <v>45871</v>
      </c>
      <c r="C9" s="99">
        <f>'P&amp;L'!F29</f>
        <v>2093</v>
      </c>
      <c r="D9" s="99">
        <f>'P&amp;L'!F30</f>
        <v>42000</v>
      </c>
      <c r="E9" s="99">
        <f>'P&amp;L'!F31</f>
        <v>1680</v>
      </c>
      <c r="F9" s="99">
        <f>'P&amp;L'!F37</f>
        <v>2548</v>
      </c>
      <c r="G9" s="99">
        <f>'P&amp;L'!F38</f>
        <v>43323</v>
      </c>
      <c r="H9" s="99">
        <f>'P&amp;L'!F40</f>
        <v>23793.666666666668</v>
      </c>
      <c r="I9" s="99">
        <f>'P&amp;L'!F41</f>
        <v>19529.333333333332</v>
      </c>
      <c r="J9" s="106">
        <f>'P&amp;L'!F39</f>
        <v>0.94445292232565237</v>
      </c>
      <c r="K9" s="106">
        <f>'P&amp;L'!F42</f>
        <v>0.42574466075152778</v>
      </c>
    </row>
    <row r="10" spans="1:11" x14ac:dyDescent="0.25">
      <c r="A10" s="98" t="s">
        <v>17</v>
      </c>
      <c r="B10" s="99">
        <f>'P&amp;L'!G33</f>
        <v>52424</v>
      </c>
      <c r="C10" s="99">
        <f>'P&amp;L'!G29</f>
        <v>2392</v>
      </c>
      <c r="D10" s="99">
        <f>'P&amp;L'!G30</f>
        <v>48000</v>
      </c>
      <c r="E10" s="99">
        <f>'P&amp;L'!G31</f>
        <v>1920</v>
      </c>
      <c r="F10" s="99">
        <f>'P&amp;L'!G37</f>
        <v>2912</v>
      </c>
      <c r="G10" s="99">
        <f>'P&amp;L'!G38</f>
        <v>49512</v>
      </c>
      <c r="H10" s="99">
        <f>'P&amp;L'!G40</f>
        <v>23793.666666666668</v>
      </c>
      <c r="I10" s="99">
        <f>'P&amp;L'!G41</f>
        <v>25718.333333333332</v>
      </c>
      <c r="J10" s="106">
        <f>'P&amp;L'!G39</f>
        <v>0.94445292232565237</v>
      </c>
      <c r="K10" s="106">
        <f>'P&amp;L'!G42</f>
        <v>0.49058319344829338</v>
      </c>
    </row>
    <row r="11" spans="1:11" x14ac:dyDescent="0.25">
      <c r="A11" s="98" t="s">
        <v>18</v>
      </c>
      <c r="B11" s="99">
        <f>'P&amp;L'!H33</f>
        <v>58977</v>
      </c>
      <c r="C11" s="99">
        <f>'P&amp;L'!H29</f>
        <v>2691</v>
      </c>
      <c r="D11" s="99">
        <f>'P&amp;L'!H30</f>
        <v>54000</v>
      </c>
      <c r="E11" s="99">
        <f>'P&amp;L'!H31</f>
        <v>2160</v>
      </c>
      <c r="F11" s="99">
        <f>'P&amp;L'!H37</f>
        <v>3276</v>
      </c>
      <c r="G11" s="99">
        <f>'P&amp;L'!H38</f>
        <v>55701</v>
      </c>
      <c r="H11" s="99">
        <f>'P&amp;L'!H40</f>
        <v>23793.666666666668</v>
      </c>
      <c r="I11" s="99">
        <f>'P&amp;L'!H41</f>
        <v>31907.333333333332</v>
      </c>
      <c r="J11" s="106">
        <f>'P&amp;L'!H39</f>
        <v>0.94445292232565237</v>
      </c>
      <c r="K11" s="106">
        <f>'P&amp;L'!H42</f>
        <v>0.54101316332355553</v>
      </c>
    </row>
    <row r="12" spans="1:11" x14ac:dyDescent="0.25">
      <c r="A12" s="98" t="s">
        <v>19</v>
      </c>
      <c r="B12" s="99">
        <f>'P&amp;L'!I33</f>
        <v>65530</v>
      </c>
      <c r="C12" s="99">
        <f>'P&amp;L'!I29</f>
        <v>2990</v>
      </c>
      <c r="D12" s="99">
        <f>'P&amp;L'!I30</f>
        <v>60000</v>
      </c>
      <c r="E12" s="99">
        <f>'P&amp;L'!I31</f>
        <v>2400</v>
      </c>
      <c r="F12" s="99">
        <f>'P&amp;L'!I37</f>
        <v>3640</v>
      </c>
      <c r="G12" s="99">
        <f>'P&amp;L'!I38</f>
        <v>61890</v>
      </c>
      <c r="H12" s="99">
        <f>'P&amp;L'!I40</f>
        <v>25177.26666666667</v>
      </c>
      <c r="I12" s="99">
        <f>'P&amp;L'!I41</f>
        <v>36712.73333333333</v>
      </c>
      <c r="J12" s="106">
        <f>'P&amp;L'!I39</f>
        <v>0.94445292232565237</v>
      </c>
      <c r="K12" s="106">
        <f>'P&amp;L'!I42</f>
        <v>0.56024314563304334</v>
      </c>
    </row>
    <row r="13" spans="1:11" x14ac:dyDescent="0.25">
      <c r="A13" s="98" t="s">
        <v>20</v>
      </c>
      <c r="B13" s="99">
        <f>'P&amp;L'!J33</f>
        <v>72083</v>
      </c>
      <c r="C13" s="99">
        <f>'P&amp;L'!J29</f>
        <v>3289</v>
      </c>
      <c r="D13" s="99">
        <f>'P&amp;L'!J30</f>
        <v>66000</v>
      </c>
      <c r="E13" s="99">
        <f>'P&amp;L'!J31</f>
        <v>2640</v>
      </c>
      <c r="F13" s="99">
        <f>'P&amp;L'!J37</f>
        <v>4004</v>
      </c>
      <c r="G13" s="99">
        <f>'P&amp;L'!J38</f>
        <v>68079</v>
      </c>
      <c r="H13" s="99">
        <f>'P&amp;L'!J40</f>
        <v>25177.26666666667</v>
      </c>
      <c r="I13" s="99">
        <f>'P&amp;L'!J41</f>
        <v>42901.73333333333</v>
      </c>
      <c r="J13" s="106">
        <f>'P&amp;L'!J39</f>
        <v>0.94445292232565237</v>
      </c>
      <c r="K13" s="106">
        <f>'P&amp;L'!J42</f>
        <v>0.59517130715055322</v>
      </c>
    </row>
    <row r="14" spans="1:11" x14ac:dyDescent="0.25">
      <c r="A14" s="98" t="s">
        <v>21</v>
      </c>
      <c r="B14" s="99">
        <f>'P&amp;L'!K33</f>
        <v>78636</v>
      </c>
      <c r="C14" s="99">
        <f>'P&amp;L'!K29</f>
        <v>3588</v>
      </c>
      <c r="D14" s="99">
        <f>'P&amp;L'!K30</f>
        <v>72000</v>
      </c>
      <c r="E14" s="99">
        <f>'P&amp;L'!K31</f>
        <v>2879.9999999999995</v>
      </c>
      <c r="F14" s="99">
        <f>'P&amp;L'!K37</f>
        <v>4368</v>
      </c>
      <c r="G14" s="99">
        <f>'P&amp;L'!K38</f>
        <v>74268</v>
      </c>
      <c r="H14" s="99">
        <f>'P&amp;L'!K40</f>
        <v>25177.26666666667</v>
      </c>
      <c r="I14" s="99">
        <f>'P&amp;L'!K41</f>
        <v>49090.73333333333</v>
      </c>
      <c r="J14" s="106">
        <f>'P&amp;L'!K39</f>
        <v>0.94445292232565237</v>
      </c>
      <c r="K14" s="106">
        <f>'P&amp;L'!K42</f>
        <v>0.62427810841514486</v>
      </c>
    </row>
    <row r="15" spans="1:11" x14ac:dyDescent="0.25">
      <c r="A15" s="98" t="s">
        <v>22</v>
      </c>
      <c r="B15" s="99">
        <f>'P&amp;L'!L33</f>
        <v>85189</v>
      </c>
      <c r="C15" s="99">
        <f>'P&amp;L'!L29</f>
        <v>3887</v>
      </c>
      <c r="D15" s="99">
        <f>'P&amp;L'!L30</f>
        <v>78000</v>
      </c>
      <c r="E15" s="99">
        <f>'P&amp;L'!L31</f>
        <v>3120</v>
      </c>
      <c r="F15" s="99">
        <f>'P&amp;L'!L37</f>
        <v>4732</v>
      </c>
      <c r="G15" s="99">
        <f>'P&amp;L'!L38</f>
        <v>80457</v>
      </c>
      <c r="H15" s="99">
        <f>'P&amp;L'!L40</f>
        <v>25177.26666666667</v>
      </c>
      <c r="I15" s="99">
        <f>'P&amp;L'!L41</f>
        <v>55279.73333333333</v>
      </c>
      <c r="J15" s="106">
        <f>'P&amp;L'!L39</f>
        <v>0.94445292232565237</v>
      </c>
      <c r="K15" s="106">
        <f>'P&amp;L'!L42</f>
        <v>0.64890694025441464</v>
      </c>
    </row>
    <row r="16" spans="1:11" x14ac:dyDescent="0.25">
      <c r="A16" s="98" t="s">
        <v>23</v>
      </c>
      <c r="B16" s="99">
        <f>'P&amp;L'!M33</f>
        <v>91742</v>
      </c>
      <c r="C16" s="99">
        <f>'P&amp;L'!M29</f>
        <v>4186</v>
      </c>
      <c r="D16" s="99">
        <f>'P&amp;L'!M30</f>
        <v>84000</v>
      </c>
      <c r="E16" s="99">
        <f>'P&amp;L'!M31</f>
        <v>3360</v>
      </c>
      <c r="F16" s="99">
        <f>'P&amp;L'!M37</f>
        <v>5096</v>
      </c>
      <c r="G16" s="99">
        <f>'P&amp;L'!M38</f>
        <v>86646</v>
      </c>
      <c r="H16" s="99">
        <f>'P&amp;L'!M40</f>
        <v>25177.26666666667</v>
      </c>
      <c r="I16" s="99">
        <f>'P&amp;L'!M41</f>
        <v>61468.73333333333</v>
      </c>
      <c r="J16" s="106">
        <f>'P&amp;L'!M39</f>
        <v>0.94445292232565237</v>
      </c>
      <c r="K16" s="106">
        <f>'P&amp;L'!M42</f>
        <v>0.67001736754521735</v>
      </c>
    </row>
    <row r="17" spans="1:11" x14ac:dyDescent="0.25">
      <c r="A17" s="98" t="s">
        <v>24</v>
      </c>
      <c r="B17" s="99">
        <f>'P&amp;L'!N33</f>
        <v>98295</v>
      </c>
      <c r="C17" s="99">
        <f>'P&amp;L'!N29</f>
        <v>4485</v>
      </c>
      <c r="D17" s="99">
        <f>'P&amp;L'!N30</f>
        <v>90000</v>
      </c>
      <c r="E17" s="99">
        <f>'P&amp;L'!N31</f>
        <v>3600</v>
      </c>
      <c r="F17" s="99">
        <f>'P&amp;L'!N37</f>
        <v>5460</v>
      </c>
      <c r="G17" s="99">
        <f>'P&amp;L'!N38</f>
        <v>92835</v>
      </c>
      <c r="H17" s="99">
        <f>'P&amp;L'!N40</f>
        <v>25177.26666666667</v>
      </c>
      <c r="I17" s="99">
        <f>'P&amp;L'!N41</f>
        <v>67657.733333333337</v>
      </c>
      <c r="J17" s="106">
        <f>'P&amp;L'!N39</f>
        <v>0.94445292232565237</v>
      </c>
      <c r="K17" s="106">
        <f>'P&amp;L'!N42</f>
        <v>0.68831307119724638</v>
      </c>
    </row>
    <row r="18" spans="1:11" x14ac:dyDescent="0.25">
      <c r="A18" s="98" t="s">
        <v>25</v>
      </c>
      <c r="B18" s="99">
        <f>'P&amp;L'!O33</f>
        <v>124507</v>
      </c>
      <c r="C18" s="99">
        <f>'P&amp;L'!O29</f>
        <v>5681</v>
      </c>
      <c r="D18" s="99">
        <f>'P&amp;L'!O30</f>
        <v>114000</v>
      </c>
      <c r="E18" s="99">
        <f>'P&amp;L'!O31</f>
        <v>4560</v>
      </c>
      <c r="F18" s="99">
        <f>'P&amp;L'!O37</f>
        <v>6916</v>
      </c>
      <c r="G18" s="99">
        <f>'P&amp;L'!O38</f>
        <v>117591</v>
      </c>
      <c r="H18" s="99">
        <f>'P&amp;L'!O40</f>
        <v>27694.993333333339</v>
      </c>
      <c r="I18" s="99">
        <f>'P&amp;L'!O41</f>
        <v>89896.006666666653</v>
      </c>
      <c r="J18" s="106">
        <f>'P&amp;L'!O39</f>
        <v>0.94445292232565237</v>
      </c>
      <c r="K18" s="106">
        <f>'P&amp;L'!O42</f>
        <v>0.72201568318782605</v>
      </c>
    </row>
    <row r="19" spans="1:11" x14ac:dyDescent="0.25">
      <c r="A19" s="98" t="s">
        <v>26</v>
      </c>
      <c r="B19" s="99">
        <f>'P&amp;L'!P33</f>
        <v>157272</v>
      </c>
      <c r="C19" s="99">
        <f>'P&amp;L'!P29</f>
        <v>7176</v>
      </c>
      <c r="D19" s="99">
        <f>'P&amp;L'!P30</f>
        <v>144000</v>
      </c>
      <c r="E19" s="99">
        <f>'P&amp;L'!P31</f>
        <v>5759.9999999999991</v>
      </c>
      <c r="F19" s="99">
        <f>'P&amp;L'!P37</f>
        <v>8736</v>
      </c>
      <c r="G19" s="99">
        <f>'P&amp;L'!P38</f>
        <v>148536</v>
      </c>
      <c r="H19" s="99">
        <f>'P&amp;L'!P40</f>
        <v>27694.993333333339</v>
      </c>
      <c r="I19" s="99">
        <f>'P&amp;L'!P41</f>
        <v>120841.00666666665</v>
      </c>
      <c r="J19" s="106">
        <f>'P&amp;L'!P39</f>
        <v>0.94445292232565237</v>
      </c>
      <c r="K19" s="106">
        <f>'P&amp;L'!P42</f>
        <v>0.76835677467487318</v>
      </c>
    </row>
    <row r="20" spans="1:11" x14ac:dyDescent="0.25">
      <c r="A20" s="98" t="s">
        <v>27</v>
      </c>
      <c r="B20" s="99">
        <f>'P&amp;L'!Q33</f>
        <v>196590</v>
      </c>
      <c r="C20" s="99">
        <f>'P&amp;L'!Q29</f>
        <v>8970</v>
      </c>
      <c r="D20" s="99">
        <f>'P&amp;L'!Q30</f>
        <v>180000</v>
      </c>
      <c r="E20" s="99">
        <f>'P&amp;L'!Q31</f>
        <v>7200</v>
      </c>
      <c r="F20" s="99">
        <f>'P&amp;L'!Q37</f>
        <v>10920</v>
      </c>
      <c r="G20" s="99">
        <f>'P&amp;L'!Q38</f>
        <v>185670</v>
      </c>
      <c r="H20" s="99">
        <f>'P&amp;L'!Q40</f>
        <v>27694.993333333339</v>
      </c>
      <c r="I20" s="99">
        <f>'P&amp;L'!Q41</f>
        <v>157975.00666666665</v>
      </c>
      <c r="J20" s="106">
        <f>'P&amp;L'!Q39</f>
        <v>0.94445292232565237</v>
      </c>
      <c r="K20" s="106">
        <f>'P&amp;L'!Q42</f>
        <v>0.80357600420502906</v>
      </c>
    </row>
    <row r="21" spans="1:11" x14ac:dyDescent="0.25">
      <c r="A21" s="98" t="s">
        <v>28</v>
      </c>
      <c r="B21" s="99">
        <f>'P&amp;L'!R33</f>
        <v>249014</v>
      </c>
      <c r="C21" s="99">
        <f>'P&amp;L'!R29</f>
        <v>11362</v>
      </c>
      <c r="D21" s="99">
        <f>'P&amp;L'!R30</f>
        <v>228000</v>
      </c>
      <c r="E21" s="99">
        <f>'P&amp;L'!R31</f>
        <v>9120</v>
      </c>
      <c r="F21" s="99">
        <f>'P&amp;L'!R37</f>
        <v>13832</v>
      </c>
      <c r="G21" s="99">
        <f>'P&amp;L'!R38</f>
        <v>235182</v>
      </c>
      <c r="H21" s="99">
        <f>'P&amp;L'!R40</f>
        <v>27694.993333333339</v>
      </c>
      <c r="I21" s="99">
        <f>'P&amp;L'!R41</f>
        <v>207487.00666666665</v>
      </c>
      <c r="J21" s="106">
        <f>'P&amp;L'!R39</f>
        <v>0.94445292232565237</v>
      </c>
      <c r="K21" s="106">
        <f>'P&amp;L'!R42</f>
        <v>0.83323430275673915</v>
      </c>
    </row>
    <row r="22" spans="1:11" x14ac:dyDescent="0.25">
      <c r="A22" s="98" t="s">
        <v>29</v>
      </c>
      <c r="B22" s="99">
        <f>'P&amp;L'!S33</f>
        <v>307991</v>
      </c>
      <c r="C22" s="99">
        <f>'P&amp;L'!S29</f>
        <v>14053</v>
      </c>
      <c r="D22" s="99">
        <f>'P&amp;L'!S30</f>
        <v>282000</v>
      </c>
      <c r="E22" s="99">
        <f>'P&amp;L'!S31</f>
        <v>11280</v>
      </c>
      <c r="F22" s="99">
        <f>'P&amp;L'!S37</f>
        <v>17108</v>
      </c>
      <c r="G22" s="99">
        <f>'P&amp;L'!S38</f>
        <v>290883</v>
      </c>
      <c r="H22" s="99">
        <f>'P&amp;L'!S40</f>
        <v>27694.993333333339</v>
      </c>
      <c r="I22" s="99">
        <f>'P&amp;L'!S41</f>
        <v>263188.00666666665</v>
      </c>
      <c r="J22" s="106">
        <f>'P&amp;L'!S39</f>
        <v>0.94445292232565237</v>
      </c>
      <c r="K22" s="106">
        <f>'P&amp;L'!S42</f>
        <v>0.85453148522738209</v>
      </c>
    </row>
    <row r="23" spans="1:11" x14ac:dyDescent="0.25">
      <c r="A23" s="98" t="s">
        <v>30</v>
      </c>
      <c r="B23" s="99">
        <f>'P&amp;L'!T33</f>
        <v>386627</v>
      </c>
      <c r="C23" s="99">
        <f>'P&amp;L'!T29</f>
        <v>17641</v>
      </c>
      <c r="D23" s="99">
        <f>'P&amp;L'!T30</f>
        <v>354000</v>
      </c>
      <c r="E23" s="99">
        <f>'P&amp;L'!T31</f>
        <v>14160</v>
      </c>
      <c r="F23" s="99">
        <f>'P&amp;L'!T37</f>
        <v>21476</v>
      </c>
      <c r="G23" s="99">
        <f>'P&amp;L'!T38</f>
        <v>365151</v>
      </c>
      <c r="H23" s="99">
        <f>'P&amp;L'!T40</f>
        <v>27694.993333333339</v>
      </c>
      <c r="I23" s="99">
        <f>'P&amp;L'!T41</f>
        <v>337456.00666666665</v>
      </c>
      <c r="J23" s="106">
        <f>'P&amp;L'!T39</f>
        <v>0.94445292232565237</v>
      </c>
      <c r="K23" s="106">
        <f>'P&amp;L'!T42</f>
        <v>0.87282059107787779</v>
      </c>
    </row>
    <row r="24" spans="1:11" x14ac:dyDescent="0.25">
      <c r="A24" s="98" t="s">
        <v>31</v>
      </c>
      <c r="B24" s="99">
        <f>'P&amp;L'!U33</f>
        <v>491475</v>
      </c>
      <c r="C24" s="99">
        <f>'P&amp;L'!U29</f>
        <v>22425</v>
      </c>
      <c r="D24" s="99">
        <f>'P&amp;L'!U30</f>
        <v>450000</v>
      </c>
      <c r="E24" s="99">
        <f>'P&amp;L'!U31</f>
        <v>18000</v>
      </c>
      <c r="F24" s="99">
        <f>'P&amp;L'!U37</f>
        <v>27300</v>
      </c>
      <c r="G24" s="99">
        <f>'P&amp;L'!U38</f>
        <v>464175</v>
      </c>
      <c r="H24" s="99">
        <f>'P&amp;L'!U40</f>
        <v>27694.993333333339</v>
      </c>
      <c r="I24" s="99">
        <f>'P&amp;L'!U41</f>
        <v>436480.00666666665</v>
      </c>
      <c r="J24" s="106">
        <f>'P&amp;L'!U39</f>
        <v>0.94445292232565237</v>
      </c>
      <c r="K24" s="106">
        <f>'P&amp;L'!U42</f>
        <v>0.88810215507740298</v>
      </c>
    </row>
    <row r="25" spans="1:11" x14ac:dyDescent="0.25">
      <c r="A25" s="98" t="s">
        <v>32</v>
      </c>
      <c r="B25" s="99">
        <f>'P&amp;L'!V33</f>
        <v>622535</v>
      </c>
      <c r="C25" s="99">
        <f>'P&amp;L'!V29</f>
        <v>28405</v>
      </c>
      <c r="D25" s="99">
        <f>'P&amp;L'!V30</f>
        <v>570000</v>
      </c>
      <c r="E25" s="99">
        <f>'P&amp;L'!V31</f>
        <v>22800</v>
      </c>
      <c r="F25" s="99">
        <f>'P&amp;L'!V37</f>
        <v>34580</v>
      </c>
      <c r="G25" s="99">
        <f>'P&amp;L'!V38</f>
        <v>587955</v>
      </c>
      <c r="H25" s="99">
        <f>'P&amp;L'!V40</f>
        <v>27694.993333333339</v>
      </c>
      <c r="I25" s="99">
        <f>'P&amp;L'!V41</f>
        <v>560260.00666666671</v>
      </c>
      <c r="J25" s="106">
        <f>'P&amp;L'!V39</f>
        <v>0.94445292232565237</v>
      </c>
      <c r="K25" s="106">
        <f>'P&amp;L'!V42</f>
        <v>0.89996547449808717</v>
      </c>
    </row>
    <row r="26" spans="1:11" x14ac:dyDescent="0.25">
      <c r="A26" s="98" t="s">
        <v>33</v>
      </c>
      <c r="B26" s="99">
        <f>'P&amp;L'!W33</f>
        <v>786360</v>
      </c>
      <c r="C26" s="99">
        <f>'P&amp;L'!W29</f>
        <v>35880</v>
      </c>
      <c r="D26" s="99">
        <f>'P&amp;L'!W30</f>
        <v>720000</v>
      </c>
      <c r="E26" s="99">
        <f>'P&amp;L'!W31</f>
        <v>28800</v>
      </c>
      <c r="F26" s="99">
        <f>'P&amp;L'!W37</f>
        <v>43680</v>
      </c>
      <c r="G26" s="99">
        <f>'P&amp;L'!W38</f>
        <v>742680</v>
      </c>
      <c r="H26" s="99">
        <f>'P&amp;L'!W40</f>
        <v>27694.993333333339</v>
      </c>
      <c r="I26" s="99">
        <f>'P&amp;L'!W41</f>
        <v>714985.00666666671</v>
      </c>
      <c r="J26" s="106">
        <f>'P&amp;L'!W39</f>
        <v>0.94445292232565237</v>
      </c>
      <c r="K26" s="106">
        <f>'P&amp;L'!W42</f>
        <v>0.9092336927954966</v>
      </c>
    </row>
    <row r="27" spans="1:11" x14ac:dyDescent="0.25">
      <c r="A27" s="98" t="s">
        <v>34</v>
      </c>
      <c r="B27" s="99">
        <f>'P&amp;L'!X33</f>
        <v>989503</v>
      </c>
      <c r="C27" s="99">
        <f>'P&amp;L'!X29</f>
        <v>45149</v>
      </c>
      <c r="D27" s="99">
        <f>'P&amp;L'!X30</f>
        <v>906000</v>
      </c>
      <c r="E27" s="99">
        <f>'P&amp;L'!X31</f>
        <v>36240</v>
      </c>
      <c r="F27" s="99">
        <f>'P&amp;L'!X37</f>
        <v>54964</v>
      </c>
      <c r="G27" s="99">
        <f>'P&amp;L'!X38</f>
        <v>934539</v>
      </c>
      <c r="H27" s="99">
        <f>'P&amp;L'!X40</f>
        <v>27694.993333333339</v>
      </c>
      <c r="I27" s="99">
        <f>'P&amp;L'!X41</f>
        <v>906844.00666666671</v>
      </c>
      <c r="J27" s="106">
        <f>'P&amp;L'!X39</f>
        <v>0.94445292232565237</v>
      </c>
      <c r="K27" s="106">
        <f>'P&amp;L'!X42</f>
        <v>0.91646413064605836</v>
      </c>
    </row>
    <row r="28" spans="1:11" x14ac:dyDescent="0.25">
      <c r="A28" s="98" t="s">
        <v>35</v>
      </c>
      <c r="B28" s="99">
        <f>'P&amp;L'!Y33</f>
        <v>1245070</v>
      </c>
      <c r="C28" s="99">
        <f>'P&amp;L'!Y29</f>
        <v>56810</v>
      </c>
      <c r="D28" s="99">
        <f>'P&amp;L'!Y30</f>
        <v>1140000</v>
      </c>
      <c r="E28" s="99">
        <f>'P&amp;L'!Y31</f>
        <v>45600</v>
      </c>
      <c r="F28" s="99">
        <f>'P&amp;L'!Y37</f>
        <v>69160</v>
      </c>
      <c r="G28" s="99">
        <f>'P&amp;L'!Y38</f>
        <v>1175910</v>
      </c>
      <c r="H28" s="99">
        <f>'P&amp;L'!Y40</f>
        <v>27694.993333333339</v>
      </c>
      <c r="I28" s="99">
        <f>'P&amp;L'!Y41</f>
        <v>1148215.0066666666</v>
      </c>
      <c r="J28" s="106">
        <f>'P&amp;L'!Y39</f>
        <v>0.94445292232565237</v>
      </c>
      <c r="K28" s="106">
        <f>'P&amp;L'!Y42</f>
        <v>0.92220919841186966</v>
      </c>
    </row>
    <row r="29" spans="1:11" x14ac:dyDescent="0.25">
      <c r="A29" s="98" t="s">
        <v>36</v>
      </c>
      <c r="B29" s="99">
        <f>'P&amp;L'!Z33</f>
        <v>1566167</v>
      </c>
      <c r="C29" s="99">
        <f>'P&amp;L'!Z29</f>
        <v>71461</v>
      </c>
      <c r="D29" s="99">
        <f>'P&amp;L'!Z30</f>
        <v>1434000</v>
      </c>
      <c r="E29" s="99">
        <f>'P&amp;L'!Z31</f>
        <v>57360</v>
      </c>
      <c r="F29" s="99">
        <f>'P&amp;L'!Z37</f>
        <v>86996</v>
      </c>
      <c r="G29" s="99">
        <f>'P&amp;L'!Z38</f>
        <v>1479171</v>
      </c>
      <c r="H29" s="99">
        <f>'P&amp;L'!Z40</f>
        <v>27694.993333333339</v>
      </c>
      <c r="I29" s="99">
        <f>'P&amp;L'!Z41</f>
        <v>1451476.0066666666</v>
      </c>
      <c r="J29" s="106">
        <f>'P&amp;L'!Z39</f>
        <v>0.94445292232565237</v>
      </c>
      <c r="K29" s="106">
        <f>'P&amp;L'!Z42</f>
        <v>0.92676962716406786</v>
      </c>
    </row>
    <row r="31" spans="1:11" x14ac:dyDescent="0.25">
      <c r="A31" s="118" t="s">
        <v>37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tabSelected="1" topLeftCell="A18" zoomScale="55" zoomScaleNormal="55" workbookViewId="0">
      <selection activeCell="F70" sqref="F70"/>
    </sheetView>
  </sheetViews>
  <sheetFormatPr defaultRowHeight="15" x14ac:dyDescent="0.25"/>
  <cols>
    <col min="1" max="1" width="62" bestFit="1" customWidth="1"/>
    <col min="2" max="2" width="15" customWidth="1"/>
    <col min="3" max="3" width="19.42578125" bestFit="1" customWidth="1"/>
    <col min="4" max="5" width="21.7109375" bestFit="1" customWidth="1"/>
    <col min="6" max="6" width="18.85546875" customWidth="1"/>
    <col min="7" max="7" width="25.5703125" bestFit="1" customWidth="1"/>
    <col min="8" max="11" width="15" customWidth="1"/>
  </cols>
  <sheetData>
    <row r="1" spans="1:7" ht="21" customHeight="1" x14ac:dyDescent="0.35">
      <c r="A1" s="104" t="s">
        <v>38</v>
      </c>
    </row>
    <row r="2" spans="1:7" x14ac:dyDescent="0.25">
      <c r="A2" t="s">
        <v>39</v>
      </c>
    </row>
    <row r="5" spans="1:7" ht="15.75" customHeight="1" x14ac:dyDescent="0.25">
      <c r="A5" s="105" t="s">
        <v>2</v>
      </c>
      <c r="B5" s="105" t="s">
        <v>40</v>
      </c>
      <c r="C5" s="105" t="s">
        <v>41</v>
      </c>
      <c r="D5" s="105" t="s">
        <v>42</v>
      </c>
      <c r="E5" s="105" t="s">
        <v>43</v>
      </c>
      <c r="F5" s="105" t="s">
        <v>44</v>
      </c>
      <c r="G5" s="105" t="s">
        <v>45</v>
      </c>
    </row>
    <row r="6" spans="1:7" x14ac:dyDescent="0.25">
      <c r="A6" s="98" t="s">
        <v>13</v>
      </c>
      <c r="B6" s="99">
        <f>'Cash Flow'!C15</f>
        <v>187974</v>
      </c>
      <c r="C6" s="99">
        <f>'Cash Flow'!C18</f>
        <v>0</v>
      </c>
      <c r="D6" s="99">
        <f>'Cash Flow'!C22</f>
        <v>95349.5</v>
      </c>
      <c r="E6" s="99">
        <f>'Cash Flow'!C23</f>
        <v>-95349.5</v>
      </c>
      <c r="F6" s="99">
        <f>'Cash Flow'!C24</f>
        <v>92624.5</v>
      </c>
      <c r="G6" s="107">
        <f>'Cash Flow'!C26</f>
        <v>4.8776692382632509</v>
      </c>
    </row>
    <row r="7" spans="1:7" x14ac:dyDescent="0.25">
      <c r="A7" s="98" t="s">
        <v>14</v>
      </c>
      <c r="B7" s="99">
        <f>'Cash Flow'!D15</f>
        <v>92624.5</v>
      </c>
      <c r="C7" s="99">
        <f>'Cash Flow'!D18</f>
        <v>23989.399999999998</v>
      </c>
      <c r="D7" s="99">
        <f>'Cash Flow'!D22</f>
        <v>20689.5</v>
      </c>
      <c r="E7" s="99">
        <f>'Cash Flow'!D23</f>
        <v>3299.8999999999978</v>
      </c>
      <c r="F7" s="99">
        <f>'Cash Flow'!D24</f>
        <v>95924.4</v>
      </c>
      <c r="G7" s="107">
        <f>'Cash Flow'!D26</f>
        <v>5.0514442191737539</v>
      </c>
    </row>
    <row r="8" spans="1:7" x14ac:dyDescent="0.25">
      <c r="A8" s="98" t="s">
        <v>15</v>
      </c>
      <c r="B8" s="99">
        <f>'Cash Flow'!E15</f>
        <v>95924.4</v>
      </c>
      <c r="C8" s="99">
        <f>'Cash Flow'!E18</f>
        <v>29986.75</v>
      </c>
      <c r="D8" s="99">
        <f>'Cash Flow'!E22</f>
        <v>25833.666666666668</v>
      </c>
      <c r="E8" s="99">
        <f>'Cash Flow'!E23</f>
        <v>4153.0833333333321</v>
      </c>
      <c r="F8" s="99">
        <f>'Cash Flow'!E24</f>
        <v>100077.48333333332</v>
      </c>
      <c r="G8" s="107">
        <f>'Cash Flow'!E26</f>
        <v>4.2060555329849674</v>
      </c>
    </row>
    <row r="9" spans="1:7" x14ac:dyDescent="0.25">
      <c r="A9" s="98" t="s">
        <v>16</v>
      </c>
      <c r="B9" s="99">
        <f>'Cash Flow'!F15</f>
        <v>100077.48333333332</v>
      </c>
      <c r="C9" s="99">
        <f>'Cash Flow'!F18</f>
        <v>35984.1</v>
      </c>
      <c r="D9" s="99">
        <f>'Cash Flow'!F22</f>
        <v>26341.666666666668</v>
      </c>
      <c r="E9" s="99">
        <f>'Cash Flow'!F23</f>
        <v>9642.4333333333307</v>
      </c>
      <c r="F9" s="99">
        <f>'Cash Flow'!F24</f>
        <v>109719.91666666666</v>
      </c>
      <c r="G9" s="107">
        <f>'Cash Flow'!F26</f>
        <v>4.5174020846819101</v>
      </c>
    </row>
    <row r="10" spans="1:7" x14ac:dyDescent="0.25">
      <c r="A10" s="98" t="s">
        <v>17</v>
      </c>
      <c r="B10" s="99">
        <f>'Cash Flow'!G15</f>
        <v>109719.91666666666</v>
      </c>
      <c r="C10" s="99">
        <f>'Cash Flow'!G18</f>
        <v>43577.45</v>
      </c>
      <c r="D10" s="99">
        <f>'Cash Flow'!G22</f>
        <v>26705.666666666668</v>
      </c>
      <c r="E10" s="99">
        <f>'Cash Flow'!G23</f>
        <v>16871.783333333329</v>
      </c>
      <c r="F10" s="99">
        <f>'Cash Flow'!G24</f>
        <v>126591.69999999998</v>
      </c>
      <c r="G10" s="107">
        <f>'Cash Flow'!G26</f>
        <v>4.8145320165819392</v>
      </c>
    </row>
    <row r="11" spans="1:7" x14ac:dyDescent="0.25">
      <c r="A11" s="98" t="s">
        <v>18</v>
      </c>
      <c r="B11" s="99">
        <f>'Cash Flow'!H15</f>
        <v>126591.69999999998</v>
      </c>
      <c r="C11" s="99">
        <f>'Cash Flow'!H18</f>
        <v>49802.799999999996</v>
      </c>
      <c r="D11" s="99">
        <f>'Cash Flow'!H22</f>
        <v>27069.666666666668</v>
      </c>
      <c r="E11" s="99">
        <f>'Cash Flow'!H23</f>
        <v>22733.133333333328</v>
      </c>
      <c r="F11" s="99">
        <f>'Cash Flow'!H24</f>
        <v>149324.83333333331</v>
      </c>
      <c r="G11" s="107">
        <f>'Cash Flow'!H26</f>
        <v>5.5915036758740335</v>
      </c>
    </row>
    <row r="12" spans="1:7" x14ac:dyDescent="0.25">
      <c r="A12" s="98" t="s">
        <v>19</v>
      </c>
      <c r="B12" s="99">
        <f>'Cash Flow'!I15</f>
        <v>149324.83333333331</v>
      </c>
      <c r="C12" s="99">
        <f>'Cash Flow'!I18</f>
        <v>56028.149999999994</v>
      </c>
      <c r="D12" s="99">
        <f>'Cash Flow'!I22</f>
        <v>28817.26666666667</v>
      </c>
      <c r="E12" s="99">
        <f>'Cash Flow'!I23</f>
        <v>27210.883333333324</v>
      </c>
      <c r="F12" s="99">
        <f>'Cash Flow'!I24</f>
        <v>176535.71666666665</v>
      </c>
      <c r="G12" s="107">
        <f>'Cash Flow'!I26</f>
        <v>6.4122833038310922</v>
      </c>
    </row>
    <row r="13" spans="1:7" x14ac:dyDescent="0.25">
      <c r="A13" s="98" t="s">
        <v>20</v>
      </c>
      <c r="B13" s="99">
        <f>'Cash Flow'!J15</f>
        <v>176535.71666666665</v>
      </c>
      <c r="C13" s="99">
        <f>'Cash Flow'!J18</f>
        <v>62253.5</v>
      </c>
      <c r="D13" s="99">
        <f>'Cash Flow'!J22</f>
        <v>29181.26666666667</v>
      </c>
      <c r="E13" s="99">
        <f>'Cash Flow'!J23</f>
        <v>33072.23333333333</v>
      </c>
      <c r="F13" s="99">
        <f>'Cash Flow'!J24</f>
        <v>209607.94999999998</v>
      </c>
      <c r="G13" s="107">
        <f>'Cash Flow'!J26</f>
        <v>7.3919966568000719</v>
      </c>
    </row>
    <row r="14" spans="1:7" x14ac:dyDescent="0.25">
      <c r="A14" s="98" t="s">
        <v>21</v>
      </c>
      <c r="B14" s="99">
        <f>'Cash Flow'!K15</f>
        <v>209607.94999999998</v>
      </c>
      <c r="C14" s="99">
        <f>'Cash Flow'!K18</f>
        <v>68478.849999999991</v>
      </c>
      <c r="D14" s="99">
        <f>'Cash Flow'!K22</f>
        <v>29545.26666666667</v>
      </c>
      <c r="E14" s="99">
        <f>'Cash Flow'!K23</f>
        <v>38933.583333333321</v>
      </c>
      <c r="F14" s="99">
        <f>'Cash Flow'!K24</f>
        <v>248541.5333333333</v>
      </c>
      <c r="G14" s="107">
        <f>'Cash Flow'!K26</f>
        <v>8.5171605527747225</v>
      </c>
    </row>
    <row r="15" spans="1:7" x14ac:dyDescent="0.25">
      <c r="A15" s="98" t="s">
        <v>22</v>
      </c>
      <c r="B15" s="99">
        <f>'Cash Flow'!L15</f>
        <v>248541.5333333333</v>
      </c>
      <c r="C15" s="99">
        <f>'Cash Flow'!L18</f>
        <v>74704.2</v>
      </c>
      <c r="D15" s="99">
        <f>'Cash Flow'!L22</f>
        <v>29909.26666666667</v>
      </c>
      <c r="E15" s="99">
        <f>'Cash Flow'!L23</f>
        <v>44794.933333333327</v>
      </c>
      <c r="F15" s="99">
        <f>'Cash Flow'!L24</f>
        <v>293336.46666666662</v>
      </c>
      <c r="G15" s="107">
        <f>'Cash Flow'!L26</f>
        <v>9.9283743137648628</v>
      </c>
    </row>
    <row r="16" spans="1:7" x14ac:dyDescent="0.25">
      <c r="A16" s="98" t="s">
        <v>23</v>
      </c>
      <c r="B16" s="99">
        <f>'Cash Flow'!M15</f>
        <v>293336.46666666662</v>
      </c>
      <c r="C16" s="99">
        <f>'Cash Flow'!M18</f>
        <v>80929.55</v>
      </c>
      <c r="D16" s="99">
        <f>'Cash Flow'!M22</f>
        <v>30273.26666666667</v>
      </c>
      <c r="E16" s="99">
        <f>'Cash Flow'!M23</f>
        <v>50656.283333333333</v>
      </c>
      <c r="F16" s="99">
        <f>'Cash Flow'!M24</f>
        <v>343992.74999999994</v>
      </c>
      <c r="G16" s="107">
        <f>'Cash Flow'!M26</f>
        <v>11.501209769993242</v>
      </c>
    </row>
    <row r="17" spans="1:7" x14ac:dyDescent="0.25">
      <c r="A17" s="98" t="s">
        <v>24</v>
      </c>
      <c r="B17" s="99">
        <f>'Cash Flow'!N15</f>
        <v>343992.74999999994</v>
      </c>
      <c r="C17" s="99">
        <f>'Cash Flow'!N18</f>
        <v>87154.9</v>
      </c>
      <c r="D17" s="99">
        <f>'Cash Flow'!N22</f>
        <v>30637.26666666667</v>
      </c>
      <c r="E17" s="99">
        <f>'Cash Flow'!N23</f>
        <v>56517.633333333324</v>
      </c>
      <c r="F17" s="99">
        <f>'Cash Flow'!N24</f>
        <v>400510.38333333324</v>
      </c>
      <c r="G17" s="107">
        <f>'Cash Flow'!N26</f>
        <v>13.229836995897365</v>
      </c>
    </row>
    <row r="18" spans="1:7" x14ac:dyDescent="0.25">
      <c r="A18" s="98" t="s">
        <v>25</v>
      </c>
      <c r="B18" s="99">
        <f>'Cash Flow'!O15</f>
        <v>400510.38333333324</v>
      </c>
      <c r="C18" s="99">
        <f>'Cash Flow'!O18</f>
        <v>93380.25</v>
      </c>
      <c r="D18" s="99">
        <f>'Cash Flow'!O22</f>
        <v>34610.993333333339</v>
      </c>
      <c r="E18" s="99">
        <f>'Cash Flow'!O23</f>
        <v>58769.256666666661</v>
      </c>
      <c r="F18" s="99">
        <f>'Cash Flow'!O24</f>
        <v>459279.6399999999</v>
      </c>
      <c r="G18" s="107">
        <f>'Cash Flow'!O26</f>
        <v>14.424381268613166</v>
      </c>
    </row>
    <row r="19" spans="1:7" x14ac:dyDescent="0.25">
      <c r="A19" s="98" t="s">
        <v>26</v>
      </c>
      <c r="B19" s="99">
        <f>'Cash Flow'!P15</f>
        <v>459279.6399999999</v>
      </c>
      <c r="C19" s="99">
        <f>'Cash Flow'!P18</f>
        <v>118281.65</v>
      </c>
      <c r="D19" s="99">
        <f>'Cash Flow'!P22</f>
        <v>36430.993333333339</v>
      </c>
      <c r="E19" s="99">
        <f>'Cash Flow'!P23</f>
        <v>81850.656666666648</v>
      </c>
      <c r="F19" s="99">
        <f>'Cash Flow'!P24</f>
        <v>541130.29666666652</v>
      </c>
      <c r="G19" s="107">
        <f>'Cash Flow'!P26</f>
        <v>15.965802627189492</v>
      </c>
    </row>
    <row r="20" spans="1:7" x14ac:dyDescent="0.25">
      <c r="A20" s="98" t="s">
        <v>27</v>
      </c>
      <c r="B20" s="99">
        <f>'Cash Flow'!Q15</f>
        <v>541130.29666666652</v>
      </c>
      <c r="C20" s="99">
        <f>'Cash Flow'!Q18</f>
        <v>149408.4</v>
      </c>
      <c r="D20" s="99">
        <f>'Cash Flow'!Q22</f>
        <v>38614.993333333339</v>
      </c>
      <c r="E20" s="99">
        <f>'Cash Flow'!Q23</f>
        <v>110793.40666666665</v>
      </c>
      <c r="F20" s="99">
        <f>'Cash Flow'!Q24</f>
        <v>651923.70333333313</v>
      </c>
      <c r="G20" s="107">
        <f>'Cash Flow'!Q26</f>
        <v>17.835354484502485</v>
      </c>
    </row>
    <row r="21" spans="1:7" x14ac:dyDescent="0.25">
      <c r="A21" s="98" t="s">
        <v>28</v>
      </c>
      <c r="B21" s="99">
        <f>'Cash Flow'!R15</f>
        <v>651923.70333333313</v>
      </c>
      <c r="C21" s="99">
        <f>'Cash Flow'!R18</f>
        <v>186760.5</v>
      </c>
      <c r="D21" s="99">
        <f>'Cash Flow'!R22</f>
        <v>41526.993333333339</v>
      </c>
      <c r="E21" s="99">
        <f>'Cash Flow'!R23</f>
        <v>145233.50666666665</v>
      </c>
      <c r="F21" s="99">
        <f>'Cash Flow'!R24</f>
        <v>797157.20999999973</v>
      </c>
      <c r="G21" s="107">
        <f>'Cash Flow'!R26</f>
        <v>20.51480222947032</v>
      </c>
    </row>
    <row r="22" spans="1:7" x14ac:dyDescent="0.25">
      <c r="A22" s="98" t="s">
        <v>29</v>
      </c>
      <c r="B22" s="99">
        <f>'Cash Flow'!S15</f>
        <v>797157.20999999973</v>
      </c>
      <c r="C22" s="99">
        <f>'Cash Flow'!S18</f>
        <v>236563.3</v>
      </c>
      <c r="D22" s="99">
        <f>'Cash Flow'!S22</f>
        <v>44802.993333333339</v>
      </c>
      <c r="E22" s="99">
        <f>'Cash Flow'!S23</f>
        <v>191760.30666666664</v>
      </c>
      <c r="F22" s="99">
        <f>'Cash Flow'!S24</f>
        <v>988917.51666666637</v>
      </c>
      <c r="G22" s="107">
        <f>'Cash Flow'!S26</f>
        <v>23.744471766692818</v>
      </c>
    </row>
    <row r="23" spans="1:7" x14ac:dyDescent="0.25">
      <c r="A23" s="98" t="s">
        <v>30</v>
      </c>
      <c r="B23" s="99">
        <f>'Cash Flow'!T15</f>
        <v>988917.51666666637</v>
      </c>
      <c r="C23" s="99">
        <f>'Cash Flow'!T18</f>
        <v>292591.45</v>
      </c>
      <c r="D23" s="99">
        <f>'Cash Flow'!T22</f>
        <v>49170.993333333339</v>
      </c>
      <c r="E23" s="99">
        <f>'Cash Flow'!T23</f>
        <v>243420.45666666667</v>
      </c>
      <c r="F23" s="99">
        <f>'Cash Flow'!T24</f>
        <v>1232337.9733333332</v>
      </c>
      <c r="G23" s="107">
        <f>'Cash Flow'!T26</f>
        <v>27.284038240904227</v>
      </c>
    </row>
    <row r="24" spans="1:7" x14ac:dyDescent="0.25">
      <c r="A24" s="98" t="s">
        <v>31</v>
      </c>
      <c r="B24" s="99">
        <f>'Cash Flow'!U15</f>
        <v>1232337.9733333332</v>
      </c>
      <c r="C24" s="99">
        <f>'Cash Flow'!U18</f>
        <v>367295.64999999997</v>
      </c>
      <c r="D24" s="99">
        <f>'Cash Flow'!U22</f>
        <v>54994.993333333339</v>
      </c>
      <c r="E24" s="99">
        <f>'Cash Flow'!U23</f>
        <v>312300.65666666662</v>
      </c>
      <c r="F24" s="99">
        <f>'Cash Flow'!U24</f>
        <v>1544638.63</v>
      </c>
      <c r="G24" s="107">
        <f>'Cash Flow'!U26</f>
        <v>31.106582659020688</v>
      </c>
    </row>
    <row r="25" spans="1:7" x14ac:dyDescent="0.25">
      <c r="A25" s="98" t="s">
        <v>32</v>
      </c>
      <c r="B25" s="99">
        <f>'Cash Flow'!V15</f>
        <v>1544638.63</v>
      </c>
      <c r="C25" s="99">
        <f>'Cash Flow'!V18</f>
        <v>466901.25</v>
      </c>
      <c r="D25" s="99">
        <f>'Cash Flow'!V22</f>
        <v>62274.993333333339</v>
      </c>
      <c r="E25" s="99">
        <f>'Cash Flow'!V23</f>
        <v>404626.25666666665</v>
      </c>
      <c r="F25" s="99">
        <f>'Cash Flow'!V24</f>
        <v>1949264.8866666665</v>
      </c>
      <c r="G25" s="107">
        <f>'Cash Flow'!V26</f>
        <v>35.134344078002904</v>
      </c>
    </row>
    <row r="26" spans="1:7" x14ac:dyDescent="0.25">
      <c r="A26" s="98" t="s">
        <v>33</v>
      </c>
      <c r="B26" s="99">
        <f>'Cash Flow'!W15</f>
        <v>1949264.8866666665</v>
      </c>
      <c r="C26" s="99">
        <f>'Cash Flow'!W18</f>
        <v>591408.25</v>
      </c>
      <c r="D26" s="99">
        <f>'Cash Flow'!W22</f>
        <v>71374.993333333347</v>
      </c>
      <c r="E26" s="99">
        <f>'Cash Flow'!W23</f>
        <v>520033.25666666665</v>
      </c>
      <c r="F26" s="99">
        <f>'Cash Flow'!W24</f>
        <v>2469298.1433333331</v>
      </c>
      <c r="G26" s="107">
        <f>'Cash Flow'!W26</f>
        <v>39.268971959921743</v>
      </c>
    </row>
    <row r="27" spans="1:7" x14ac:dyDescent="0.25">
      <c r="A27" s="98" t="s">
        <v>34</v>
      </c>
      <c r="B27" s="99">
        <f>'Cash Flow'!X15</f>
        <v>2469298.1433333331</v>
      </c>
      <c r="C27" s="99">
        <f>'Cash Flow'!X18</f>
        <v>747042</v>
      </c>
      <c r="D27" s="99">
        <f>'Cash Flow'!X22</f>
        <v>82658.993333333347</v>
      </c>
      <c r="E27" s="99">
        <f>'Cash Flow'!X23</f>
        <v>664383.0066666666</v>
      </c>
      <c r="F27" s="99">
        <f>'Cash Flow'!X24</f>
        <v>3133681.1499999994</v>
      </c>
      <c r="G27" s="107">
        <f>'Cash Flow'!X26</f>
        <v>43.461179697671341</v>
      </c>
    </row>
    <row r="28" spans="1:7" x14ac:dyDescent="0.25">
      <c r="A28" s="98" t="s">
        <v>35</v>
      </c>
      <c r="B28" s="99">
        <f>'Cash Flow'!Y15</f>
        <v>3133681.1499999994</v>
      </c>
      <c r="C28" s="99">
        <f>'Cash Flow'!Y18</f>
        <v>940027.85</v>
      </c>
      <c r="D28" s="99">
        <f>'Cash Flow'!Y22</f>
        <v>96854.993333333347</v>
      </c>
      <c r="E28" s="99">
        <f>'Cash Flow'!Y23</f>
        <v>843172.85666666669</v>
      </c>
      <c r="F28" s="99">
        <f>'Cash Flow'!Y24</f>
        <v>3976854.0066666659</v>
      </c>
      <c r="G28" s="107">
        <f>'Cash Flow'!Y26</f>
        <v>47.553152872637114</v>
      </c>
    </row>
    <row r="29" spans="1:7" x14ac:dyDescent="0.25">
      <c r="A29" s="98" t="s">
        <v>36</v>
      </c>
      <c r="B29" s="99">
        <f>'Cash Flow'!Z15</f>
        <v>3976854.0066666659</v>
      </c>
      <c r="C29" s="99">
        <f>'Cash Flow'!Z18</f>
        <v>1182816.5</v>
      </c>
      <c r="D29" s="99">
        <f>'Cash Flow'!Z22</f>
        <v>114690.99333333335</v>
      </c>
      <c r="E29" s="99">
        <f>'Cash Flow'!Z23</f>
        <v>1068125.5066666666</v>
      </c>
      <c r="F29" s="99">
        <f>'Cash Flow'!Z24</f>
        <v>5044979.5133333327</v>
      </c>
      <c r="G29" s="107">
        <f>'Cash Flow'!Z26</f>
        <v>51.443515809963507</v>
      </c>
    </row>
    <row r="31" spans="1:7" x14ac:dyDescent="0.25">
      <c r="A31" s="118" t="s">
        <v>46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zoomScale="55" zoomScaleNormal="55" workbookViewId="0">
      <selection activeCell="F6" sqref="F6"/>
    </sheetView>
  </sheetViews>
  <sheetFormatPr defaultRowHeight="15" x14ac:dyDescent="0.25"/>
  <cols>
    <col min="1" max="1" width="39.28515625" customWidth="1"/>
    <col min="2" max="2" width="22.42578125" bestFit="1" customWidth="1"/>
    <col min="3" max="3" width="19.42578125" bestFit="1" customWidth="1"/>
    <col min="4" max="4" width="21.7109375" bestFit="1" customWidth="1"/>
    <col min="5" max="5" width="24.28515625" bestFit="1" customWidth="1"/>
    <col min="6" max="6" width="18" bestFit="1" customWidth="1"/>
    <col min="7" max="7" width="28.7109375" bestFit="1" customWidth="1"/>
    <col min="8" max="11" width="15" customWidth="1"/>
  </cols>
  <sheetData>
    <row r="1" spans="1:7" ht="21" customHeight="1" x14ac:dyDescent="0.35">
      <c r="A1" s="104" t="s">
        <v>47</v>
      </c>
    </row>
    <row r="2" spans="1:7" x14ac:dyDescent="0.25">
      <c r="A2" t="s">
        <v>48</v>
      </c>
    </row>
    <row r="5" spans="1:7" ht="15.75" customHeight="1" x14ac:dyDescent="0.25">
      <c r="A5" s="105" t="s">
        <v>2</v>
      </c>
      <c r="B5" s="105" t="s">
        <v>49</v>
      </c>
      <c r="C5" s="105" t="s">
        <v>50</v>
      </c>
      <c r="D5" s="105" t="s">
        <v>3</v>
      </c>
      <c r="E5" s="105" t="s">
        <v>51</v>
      </c>
      <c r="F5" s="105" t="s">
        <v>5</v>
      </c>
      <c r="G5" s="105" t="s">
        <v>52</v>
      </c>
    </row>
    <row r="6" spans="1:7" x14ac:dyDescent="0.25">
      <c r="A6" s="98" t="s">
        <v>13</v>
      </c>
      <c r="B6" s="108">
        <f>'Churn Model'!E29</f>
        <v>4</v>
      </c>
      <c r="C6" s="108">
        <f>'P&amp;L'!C28</f>
        <v>4</v>
      </c>
      <c r="D6" s="99">
        <f>'P&amp;L'!C33</f>
        <v>25252</v>
      </c>
      <c r="E6" s="99">
        <f t="shared" ref="E6:E29" si="0">IFERROR(IF(B6=0,0,D6/B6), 0)</f>
        <v>6313</v>
      </c>
      <c r="F6" s="107">
        <f>IFERROR('P&amp;L'!C30/1200, 0)</f>
        <v>20</v>
      </c>
      <c r="G6" s="107">
        <f t="shared" ref="G6:G29" si="1">IFERROR(IF(B6=0,0,F6/B6), 0)</f>
        <v>5</v>
      </c>
    </row>
    <row r="7" spans="1:7" x14ac:dyDescent="0.25">
      <c r="A7" s="98" t="s">
        <v>14</v>
      </c>
      <c r="B7" s="108">
        <f>'Churn Model'!E30</f>
        <v>5</v>
      </c>
      <c r="C7" s="108">
        <f>'P&amp;L'!D28-'P&amp;L'!C28</f>
        <v>1</v>
      </c>
      <c r="D7" s="99">
        <f>'P&amp;L'!D33</f>
        <v>31565</v>
      </c>
      <c r="E7" s="99">
        <f t="shared" si="0"/>
        <v>6313</v>
      </c>
      <c r="F7" s="107">
        <f>IFERROR('P&amp;L'!D30/1200, 0)</f>
        <v>25</v>
      </c>
      <c r="G7" s="107">
        <f t="shared" si="1"/>
        <v>5</v>
      </c>
    </row>
    <row r="8" spans="1:7" x14ac:dyDescent="0.25">
      <c r="A8" s="98" t="s">
        <v>15</v>
      </c>
      <c r="B8" s="108">
        <f>'Churn Model'!E31</f>
        <v>6</v>
      </c>
      <c r="C8" s="108">
        <f>'P&amp;L'!E28-'P&amp;L'!D28</f>
        <v>1</v>
      </c>
      <c r="D8" s="99">
        <f>'P&amp;L'!E33</f>
        <v>37878</v>
      </c>
      <c r="E8" s="99">
        <f t="shared" si="0"/>
        <v>6313</v>
      </c>
      <c r="F8" s="107">
        <f>IFERROR('P&amp;L'!E30/1200, 0)</f>
        <v>30</v>
      </c>
      <c r="G8" s="107">
        <f t="shared" si="1"/>
        <v>5</v>
      </c>
    </row>
    <row r="9" spans="1:7" x14ac:dyDescent="0.25">
      <c r="A9" s="98" t="s">
        <v>16</v>
      </c>
      <c r="B9" s="108">
        <f>'Churn Model'!E32</f>
        <v>7</v>
      </c>
      <c r="C9" s="108">
        <f>'P&amp;L'!F28-'P&amp;L'!E28</f>
        <v>1</v>
      </c>
      <c r="D9" s="99">
        <f>'P&amp;L'!F33</f>
        <v>45871</v>
      </c>
      <c r="E9" s="99">
        <f t="shared" si="0"/>
        <v>6553</v>
      </c>
      <c r="F9" s="107">
        <f>IFERROR('P&amp;L'!F30/1200, 0)</f>
        <v>35</v>
      </c>
      <c r="G9" s="107">
        <f t="shared" si="1"/>
        <v>5</v>
      </c>
    </row>
    <row r="10" spans="1:7" x14ac:dyDescent="0.25">
      <c r="A10" s="98" t="s">
        <v>17</v>
      </c>
      <c r="B10" s="108">
        <f>'Churn Model'!E33</f>
        <v>8</v>
      </c>
      <c r="C10" s="108">
        <f>'P&amp;L'!G28-'P&amp;L'!F28</f>
        <v>1</v>
      </c>
      <c r="D10" s="99">
        <f>'P&amp;L'!G33</f>
        <v>52424</v>
      </c>
      <c r="E10" s="99">
        <f t="shared" si="0"/>
        <v>6553</v>
      </c>
      <c r="F10" s="107">
        <f>IFERROR('P&amp;L'!G30/1200, 0)</f>
        <v>40</v>
      </c>
      <c r="G10" s="107">
        <f t="shared" si="1"/>
        <v>5</v>
      </c>
    </row>
    <row r="11" spans="1:7" x14ac:dyDescent="0.25">
      <c r="A11" s="98" t="s">
        <v>18</v>
      </c>
      <c r="B11" s="108">
        <f>'Churn Model'!E34</f>
        <v>9</v>
      </c>
      <c r="C11" s="108">
        <f>'P&amp;L'!H28-'P&amp;L'!G28</f>
        <v>1</v>
      </c>
      <c r="D11" s="99">
        <f>'P&amp;L'!H33</f>
        <v>58977</v>
      </c>
      <c r="E11" s="99">
        <f t="shared" si="0"/>
        <v>6553</v>
      </c>
      <c r="F11" s="107">
        <f>IFERROR('P&amp;L'!H30/1200, 0)</f>
        <v>45</v>
      </c>
      <c r="G11" s="107">
        <f t="shared" si="1"/>
        <v>5</v>
      </c>
    </row>
    <row r="12" spans="1:7" x14ac:dyDescent="0.25">
      <c r="A12" s="98" t="s">
        <v>19</v>
      </c>
      <c r="B12" s="108">
        <f>'Churn Model'!E35</f>
        <v>10</v>
      </c>
      <c r="C12" s="108">
        <f>'P&amp;L'!I28-'P&amp;L'!H28</f>
        <v>1</v>
      </c>
      <c r="D12" s="99">
        <f>'P&amp;L'!I33</f>
        <v>65530</v>
      </c>
      <c r="E12" s="99">
        <f t="shared" si="0"/>
        <v>6553</v>
      </c>
      <c r="F12" s="107">
        <f>IFERROR('P&amp;L'!I30/1200, 0)</f>
        <v>50</v>
      </c>
      <c r="G12" s="107">
        <f t="shared" si="1"/>
        <v>5</v>
      </c>
    </row>
    <row r="13" spans="1:7" x14ac:dyDescent="0.25">
      <c r="A13" s="98" t="s">
        <v>20</v>
      </c>
      <c r="B13" s="108">
        <f>'Churn Model'!E36</f>
        <v>11</v>
      </c>
      <c r="C13" s="108">
        <f>'P&amp;L'!J28-'P&amp;L'!I28</f>
        <v>1</v>
      </c>
      <c r="D13" s="99">
        <f>'P&amp;L'!J33</f>
        <v>72083</v>
      </c>
      <c r="E13" s="99">
        <f t="shared" si="0"/>
        <v>6553</v>
      </c>
      <c r="F13" s="107">
        <f>IFERROR('P&amp;L'!J30/1200, 0)</f>
        <v>55</v>
      </c>
      <c r="G13" s="107">
        <f t="shared" si="1"/>
        <v>5</v>
      </c>
    </row>
    <row r="14" spans="1:7" x14ac:dyDescent="0.25">
      <c r="A14" s="98" t="s">
        <v>21</v>
      </c>
      <c r="B14" s="108">
        <f>'Churn Model'!E37</f>
        <v>12</v>
      </c>
      <c r="C14" s="108">
        <f>'P&amp;L'!K28-'P&amp;L'!J28</f>
        <v>1</v>
      </c>
      <c r="D14" s="99">
        <f>'P&amp;L'!K33</f>
        <v>78636</v>
      </c>
      <c r="E14" s="99">
        <f t="shared" si="0"/>
        <v>6553</v>
      </c>
      <c r="F14" s="107">
        <f>IFERROR('P&amp;L'!K30/1200, 0)</f>
        <v>60</v>
      </c>
      <c r="G14" s="107">
        <f t="shared" si="1"/>
        <v>5</v>
      </c>
    </row>
    <row r="15" spans="1:7" x14ac:dyDescent="0.25">
      <c r="A15" s="98" t="s">
        <v>22</v>
      </c>
      <c r="B15" s="108">
        <f>'Churn Model'!E38</f>
        <v>13</v>
      </c>
      <c r="C15" s="108">
        <f>'P&amp;L'!L28-'P&amp;L'!K28</f>
        <v>1</v>
      </c>
      <c r="D15" s="99">
        <f>'P&amp;L'!L33</f>
        <v>85189</v>
      </c>
      <c r="E15" s="99">
        <f t="shared" si="0"/>
        <v>6553</v>
      </c>
      <c r="F15" s="107">
        <f>IFERROR('P&amp;L'!L30/1200, 0)</f>
        <v>65</v>
      </c>
      <c r="G15" s="107">
        <f t="shared" si="1"/>
        <v>5</v>
      </c>
    </row>
    <row r="16" spans="1:7" x14ac:dyDescent="0.25">
      <c r="A16" s="98" t="s">
        <v>23</v>
      </c>
      <c r="B16" s="108">
        <f>'Churn Model'!E39</f>
        <v>14</v>
      </c>
      <c r="C16" s="108">
        <f>'P&amp;L'!M28-'P&amp;L'!L28</f>
        <v>1</v>
      </c>
      <c r="D16" s="99">
        <f>'P&amp;L'!M33</f>
        <v>91742</v>
      </c>
      <c r="E16" s="99">
        <f t="shared" si="0"/>
        <v>6553</v>
      </c>
      <c r="F16" s="107">
        <f>IFERROR('P&amp;L'!M30/1200, 0)</f>
        <v>70</v>
      </c>
      <c r="G16" s="107">
        <f t="shared" si="1"/>
        <v>5</v>
      </c>
    </row>
    <row r="17" spans="1:7" x14ac:dyDescent="0.25">
      <c r="A17" s="98" t="s">
        <v>24</v>
      </c>
      <c r="B17" s="108">
        <f>'Churn Model'!E40</f>
        <v>15</v>
      </c>
      <c r="C17" s="108">
        <f>'P&amp;L'!N28-'P&amp;L'!M28</f>
        <v>1</v>
      </c>
      <c r="D17" s="99">
        <f>'P&amp;L'!N33</f>
        <v>98295</v>
      </c>
      <c r="E17" s="99">
        <f t="shared" si="0"/>
        <v>6553</v>
      </c>
      <c r="F17" s="107">
        <f>IFERROR('P&amp;L'!N30/1200, 0)</f>
        <v>75</v>
      </c>
      <c r="G17" s="107">
        <f t="shared" si="1"/>
        <v>5</v>
      </c>
    </row>
    <row r="18" spans="1:7" x14ac:dyDescent="0.25">
      <c r="A18" s="98" t="s">
        <v>25</v>
      </c>
      <c r="B18" s="108">
        <f>'Churn Model'!E41</f>
        <v>19</v>
      </c>
      <c r="C18" s="108">
        <f>'P&amp;L'!O28-'P&amp;L'!N28</f>
        <v>4</v>
      </c>
      <c r="D18" s="99">
        <f>'P&amp;L'!O33</f>
        <v>124507</v>
      </c>
      <c r="E18" s="99">
        <f t="shared" si="0"/>
        <v>6553</v>
      </c>
      <c r="F18" s="107">
        <f>IFERROR('P&amp;L'!O30/1200, 0)</f>
        <v>95</v>
      </c>
      <c r="G18" s="107">
        <f t="shared" si="1"/>
        <v>5</v>
      </c>
    </row>
    <row r="19" spans="1:7" x14ac:dyDescent="0.25">
      <c r="A19" s="98" t="s">
        <v>26</v>
      </c>
      <c r="B19" s="108">
        <f>'Churn Model'!E42</f>
        <v>24</v>
      </c>
      <c r="C19" s="108">
        <f>'P&amp;L'!P28-'P&amp;L'!O28</f>
        <v>5</v>
      </c>
      <c r="D19" s="99">
        <f>'P&amp;L'!P33</f>
        <v>157272</v>
      </c>
      <c r="E19" s="99">
        <f t="shared" si="0"/>
        <v>6553</v>
      </c>
      <c r="F19" s="107">
        <f>IFERROR('P&amp;L'!P30/1200, 0)</f>
        <v>120</v>
      </c>
      <c r="G19" s="107">
        <f t="shared" si="1"/>
        <v>5</v>
      </c>
    </row>
    <row r="20" spans="1:7" x14ac:dyDescent="0.25">
      <c r="A20" s="98" t="s">
        <v>27</v>
      </c>
      <c r="B20" s="108">
        <f>'Churn Model'!E43</f>
        <v>30</v>
      </c>
      <c r="C20" s="108">
        <f>'P&amp;L'!Q28-'P&amp;L'!P28</f>
        <v>6</v>
      </c>
      <c r="D20" s="99">
        <f>'P&amp;L'!Q33</f>
        <v>196590</v>
      </c>
      <c r="E20" s="99">
        <f t="shared" si="0"/>
        <v>6553</v>
      </c>
      <c r="F20" s="107">
        <f>IFERROR('P&amp;L'!Q30/1200, 0)</f>
        <v>150</v>
      </c>
      <c r="G20" s="107">
        <f t="shared" si="1"/>
        <v>5</v>
      </c>
    </row>
    <row r="21" spans="1:7" x14ac:dyDescent="0.25">
      <c r="A21" s="98" t="s">
        <v>28</v>
      </c>
      <c r="B21" s="108">
        <f>'Churn Model'!E44</f>
        <v>38</v>
      </c>
      <c r="C21" s="108">
        <f>'P&amp;L'!R28-'P&amp;L'!Q28</f>
        <v>8</v>
      </c>
      <c r="D21" s="99">
        <f>'P&amp;L'!R33</f>
        <v>249014</v>
      </c>
      <c r="E21" s="99">
        <f t="shared" si="0"/>
        <v>6553</v>
      </c>
      <c r="F21" s="107">
        <f>IFERROR('P&amp;L'!R30/1200, 0)</f>
        <v>190</v>
      </c>
      <c r="G21" s="107">
        <f t="shared" si="1"/>
        <v>5</v>
      </c>
    </row>
    <row r="22" spans="1:7" x14ac:dyDescent="0.25">
      <c r="A22" s="98" t="s">
        <v>29</v>
      </c>
      <c r="B22" s="108">
        <f>'Churn Model'!E45</f>
        <v>47</v>
      </c>
      <c r="C22" s="108">
        <f>'P&amp;L'!S28-'P&amp;L'!R28</f>
        <v>9</v>
      </c>
      <c r="D22" s="99">
        <f>'P&amp;L'!S33</f>
        <v>307991</v>
      </c>
      <c r="E22" s="99">
        <f t="shared" si="0"/>
        <v>6553</v>
      </c>
      <c r="F22" s="107">
        <f>IFERROR('P&amp;L'!S30/1200, 0)</f>
        <v>235</v>
      </c>
      <c r="G22" s="107">
        <f t="shared" si="1"/>
        <v>5</v>
      </c>
    </row>
    <row r="23" spans="1:7" x14ac:dyDescent="0.25">
      <c r="A23" s="98" t="s">
        <v>30</v>
      </c>
      <c r="B23" s="108">
        <f>'Churn Model'!E46</f>
        <v>59</v>
      </c>
      <c r="C23" s="108">
        <f>'P&amp;L'!T28-'P&amp;L'!S28</f>
        <v>12</v>
      </c>
      <c r="D23" s="99">
        <f>'P&amp;L'!T33</f>
        <v>386627</v>
      </c>
      <c r="E23" s="99">
        <f t="shared" si="0"/>
        <v>6553</v>
      </c>
      <c r="F23" s="107">
        <f>IFERROR('P&amp;L'!T30/1200, 0)</f>
        <v>295</v>
      </c>
      <c r="G23" s="107">
        <f t="shared" si="1"/>
        <v>5</v>
      </c>
    </row>
    <row r="24" spans="1:7" x14ac:dyDescent="0.25">
      <c r="A24" s="98" t="s">
        <v>31</v>
      </c>
      <c r="B24" s="108">
        <f>'Churn Model'!E47</f>
        <v>75</v>
      </c>
      <c r="C24" s="108">
        <f>'P&amp;L'!U28-'P&amp;L'!T28</f>
        <v>16</v>
      </c>
      <c r="D24" s="99">
        <f>'P&amp;L'!U33</f>
        <v>491475</v>
      </c>
      <c r="E24" s="99">
        <f t="shared" si="0"/>
        <v>6553</v>
      </c>
      <c r="F24" s="107">
        <f>IFERROR('P&amp;L'!U30/1200, 0)</f>
        <v>375</v>
      </c>
      <c r="G24" s="107">
        <f t="shared" si="1"/>
        <v>5</v>
      </c>
    </row>
    <row r="25" spans="1:7" x14ac:dyDescent="0.25">
      <c r="A25" s="98" t="s">
        <v>32</v>
      </c>
      <c r="B25" s="108">
        <f>'Churn Model'!E48</f>
        <v>95</v>
      </c>
      <c r="C25" s="108">
        <f>'P&amp;L'!V28-'P&amp;L'!U28</f>
        <v>20</v>
      </c>
      <c r="D25" s="99">
        <f>'P&amp;L'!V33</f>
        <v>622535</v>
      </c>
      <c r="E25" s="99">
        <f t="shared" si="0"/>
        <v>6553</v>
      </c>
      <c r="F25" s="107">
        <f>IFERROR('P&amp;L'!V30/1200, 0)</f>
        <v>475</v>
      </c>
      <c r="G25" s="107">
        <f t="shared" si="1"/>
        <v>5</v>
      </c>
    </row>
    <row r="26" spans="1:7" x14ac:dyDescent="0.25">
      <c r="A26" s="98" t="s">
        <v>33</v>
      </c>
      <c r="B26" s="108">
        <f>'Churn Model'!E49</f>
        <v>120</v>
      </c>
      <c r="C26" s="108">
        <f>'P&amp;L'!W28-'P&amp;L'!V28</f>
        <v>25</v>
      </c>
      <c r="D26" s="99">
        <f>'P&amp;L'!W33</f>
        <v>786360</v>
      </c>
      <c r="E26" s="99">
        <f t="shared" si="0"/>
        <v>6553</v>
      </c>
      <c r="F26" s="107">
        <f>IFERROR('P&amp;L'!W30/1200, 0)</f>
        <v>600</v>
      </c>
      <c r="G26" s="107">
        <f t="shared" si="1"/>
        <v>5</v>
      </c>
    </row>
    <row r="27" spans="1:7" x14ac:dyDescent="0.25">
      <c r="A27" s="98" t="s">
        <v>34</v>
      </c>
      <c r="B27" s="108">
        <f>'Churn Model'!E50</f>
        <v>151</v>
      </c>
      <c r="C27" s="108">
        <f>'P&amp;L'!X28-'P&amp;L'!W28</f>
        <v>31</v>
      </c>
      <c r="D27" s="99">
        <f>'P&amp;L'!X33</f>
        <v>989503</v>
      </c>
      <c r="E27" s="99">
        <f t="shared" si="0"/>
        <v>6553</v>
      </c>
      <c r="F27" s="107">
        <f>IFERROR('P&amp;L'!X30/1200, 0)</f>
        <v>755</v>
      </c>
      <c r="G27" s="107">
        <f t="shared" si="1"/>
        <v>5</v>
      </c>
    </row>
    <row r="28" spans="1:7" x14ac:dyDescent="0.25">
      <c r="A28" s="98" t="s">
        <v>35</v>
      </c>
      <c r="B28" s="108">
        <f>'Churn Model'!E51</f>
        <v>190</v>
      </c>
      <c r="C28" s="108">
        <f>'P&amp;L'!Y28-'P&amp;L'!X28</f>
        <v>39</v>
      </c>
      <c r="D28" s="99">
        <f>'P&amp;L'!Y33</f>
        <v>1245070</v>
      </c>
      <c r="E28" s="99">
        <f t="shared" si="0"/>
        <v>6553</v>
      </c>
      <c r="F28" s="107">
        <f>IFERROR('P&amp;L'!Y30/1200, 0)</f>
        <v>950</v>
      </c>
      <c r="G28" s="107">
        <f t="shared" si="1"/>
        <v>5</v>
      </c>
    </row>
    <row r="29" spans="1:7" x14ac:dyDescent="0.25">
      <c r="A29" s="98" t="s">
        <v>36</v>
      </c>
      <c r="B29" s="108">
        <f>'Churn Model'!E52</f>
        <v>239</v>
      </c>
      <c r="C29" s="108">
        <f>'P&amp;L'!Z28-'P&amp;L'!Y28</f>
        <v>49</v>
      </c>
      <c r="D29" s="99">
        <f>'P&amp;L'!Z33</f>
        <v>1566167</v>
      </c>
      <c r="E29" s="99">
        <f t="shared" si="0"/>
        <v>6553</v>
      </c>
      <c r="F29" s="107">
        <f>IFERROR('P&amp;L'!Z30/1200, 0)</f>
        <v>1195</v>
      </c>
      <c r="G29" s="107">
        <f t="shared" si="1"/>
        <v>5</v>
      </c>
    </row>
    <row r="31" spans="1:7" x14ac:dyDescent="0.25">
      <c r="A31" s="118" t="s">
        <v>53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>
      <selection activeCell="A35" sqref="A35:XFD35"/>
    </sheetView>
  </sheetViews>
  <sheetFormatPr defaultRowHeight="15" x14ac:dyDescent="0.25"/>
  <cols>
    <col min="1" max="1" width="25" customWidth="1"/>
    <col min="2" max="2" width="20.7109375" bestFit="1" customWidth="1"/>
    <col min="3" max="3" width="22" bestFit="1" customWidth="1"/>
    <col min="4" max="4" width="17.42578125" bestFit="1" customWidth="1"/>
    <col min="5" max="5" width="12" customWidth="1"/>
    <col min="6" max="6" width="35" customWidth="1"/>
    <col min="7" max="7" width="34.28515625" bestFit="1" customWidth="1"/>
    <col min="8" max="8" width="27.42578125" bestFit="1" customWidth="1"/>
  </cols>
  <sheetData>
    <row r="1" spans="1:8" ht="21" customHeight="1" x14ac:dyDescent="0.35">
      <c r="A1" s="139" t="s">
        <v>54</v>
      </c>
      <c r="B1" s="138"/>
      <c r="C1" s="138"/>
      <c r="D1" s="138"/>
      <c r="E1" s="138"/>
      <c r="F1" s="138"/>
      <c r="G1" s="138"/>
      <c r="H1" s="138"/>
    </row>
    <row r="2" spans="1:8" x14ac:dyDescent="0.25">
      <c r="A2" s="137" t="s">
        <v>55</v>
      </c>
      <c r="B2" s="138"/>
      <c r="C2" s="138"/>
      <c r="D2" s="138"/>
      <c r="E2" s="138"/>
      <c r="F2" s="138"/>
      <c r="G2" s="138"/>
      <c r="H2" s="138"/>
    </row>
    <row r="4" spans="1:8" ht="15.75" customHeight="1" x14ac:dyDescent="0.25">
      <c r="A4" s="119" t="s">
        <v>56</v>
      </c>
    </row>
    <row r="6" spans="1:8" x14ac:dyDescent="0.25">
      <c r="A6" s="120" t="s">
        <v>57</v>
      </c>
      <c r="B6" s="120" t="s">
        <v>58</v>
      </c>
      <c r="C6" s="120" t="s">
        <v>59</v>
      </c>
      <c r="D6" s="120" t="s">
        <v>60</v>
      </c>
      <c r="E6" s="135" t="s">
        <v>61</v>
      </c>
      <c r="F6" s="135" t="s">
        <v>62</v>
      </c>
      <c r="G6" s="120" t="s">
        <v>63</v>
      </c>
      <c r="H6" s="120" t="s">
        <v>64</v>
      </c>
    </row>
    <row r="7" spans="1:8" x14ac:dyDescent="0.25">
      <c r="A7" t="s">
        <v>65</v>
      </c>
      <c r="B7" s="121">
        <f>Assumptions!B144</f>
        <v>2</v>
      </c>
      <c r="C7" s="121">
        <f>Assumptions!B145</f>
        <v>4</v>
      </c>
      <c r="D7" s="121">
        <f>Assumptions!B146</f>
        <v>6</v>
      </c>
      <c r="E7" s="136">
        <f>Assumptions!B147</f>
        <v>3</v>
      </c>
      <c r="F7" s="136">
        <f>Assumptions!B148</f>
        <v>1</v>
      </c>
      <c r="G7" t="s">
        <v>66</v>
      </c>
      <c r="H7" t="s">
        <v>67</v>
      </c>
    </row>
    <row r="8" spans="1:8" x14ac:dyDescent="0.25">
      <c r="A8" t="s">
        <v>68</v>
      </c>
      <c r="B8" s="121">
        <f>Assumptions!B149</f>
        <v>0.1</v>
      </c>
      <c r="C8" s="121">
        <f>Assumptions!B150</f>
        <v>0.15</v>
      </c>
      <c r="D8" s="121">
        <f>Assumptions!B151</f>
        <v>0.2</v>
      </c>
      <c r="E8" s="136">
        <f>Assumptions!B152</f>
        <v>0.08</v>
      </c>
      <c r="F8" s="136">
        <f>Assumptions!B153</f>
        <v>0.03</v>
      </c>
      <c r="G8" t="s">
        <v>69</v>
      </c>
      <c r="H8" t="s">
        <v>70</v>
      </c>
    </row>
    <row r="9" spans="1:8" x14ac:dyDescent="0.25">
      <c r="A9" t="s">
        <v>71</v>
      </c>
      <c r="B9" s="121">
        <f>Assumptions!B154</f>
        <v>0.15</v>
      </c>
      <c r="C9" s="121">
        <f>Assumptions!B155</f>
        <v>0.3</v>
      </c>
      <c r="D9" s="121">
        <f>Assumptions!B156</f>
        <v>0.4</v>
      </c>
      <c r="E9" s="136">
        <f>Assumptions!B157</f>
        <v>0.12</v>
      </c>
      <c r="F9" s="136">
        <f>Assumptions!B158</f>
        <v>0.05</v>
      </c>
      <c r="G9" t="s">
        <v>69</v>
      </c>
      <c r="H9" t="s">
        <v>72</v>
      </c>
    </row>
    <row r="10" spans="1:8" x14ac:dyDescent="0.25">
      <c r="A10" t="s">
        <v>73</v>
      </c>
      <c r="B10" s="121">
        <f>Assumptions!B159</f>
        <v>0.08</v>
      </c>
      <c r="C10" s="121">
        <f>Assumptions!B158</f>
        <v>0.05</v>
      </c>
      <c r="D10" s="121">
        <f>Assumptions!B153</f>
        <v>0.03</v>
      </c>
      <c r="E10" s="136">
        <f>Assumptions!B160</f>
        <v>0.1</v>
      </c>
      <c r="F10" s="136">
        <f>Assumptions!B161</f>
        <v>0.15</v>
      </c>
      <c r="G10" t="s">
        <v>69</v>
      </c>
      <c r="H10" t="s">
        <v>74</v>
      </c>
    </row>
    <row r="11" spans="1:8" x14ac:dyDescent="0.25">
      <c r="A11" t="s">
        <v>75</v>
      </c>
      <c r="B11" s="121">
        <f>Assumptions!B162</f>
        <v>0.06</v>
      </c>
      <c r="C11" s="121">
        <f>Assumptions!B163</f>
        <v>0.04</v>
      </c>
      <c r="D11" s="121">
        <f>Assumptions!B164</f>
        <v>0.02</v>
      </c>
      <c r="E11" s="136">
        <f>Assumptions!B165</f>
        <v>0.08</v>
      </c>
      <c r="F11" s="136">
        <f>Assumptions!B166</f>
        <v>0.12</v>
      </c>
      <c r="G11" t="s">
        <v>69</v>
      </c>
      <c r="H11" t="s">
        <v>76</v>
      </c>
    </row>
    <row r="12" spans="1:8" x14ac:dyDescent="0.25">
      <c r="A12" t="s">
        <v>52</v>
      </c>
      <c r="B12" s="121">
        <v>3</v>
      </c>
      <c r="C12" s="121">
        <v>5</v>
      </c>
      <c r="D12" s="121">
        <v>7</v>
      </c>
      <c r="E12" s="136">
        <v>4</v>
      </c>
      <c r="F12" s="136">
        <v>2</v>
      </c>
      <c r="G12" t="s">
        <v>77</v>
      </c>
      <c r="H12" t="s">
        <v>78</v>
      </c>
    </row>
    <row r="13" spans="1:8" x14ac:dyDescent="0.25">
      <c r="A13" t="s">
        <v>79</v>
      </c>
      <c r="B13" s="121">
        <f>Assumptions!B167</f>
        <v>0.4</v>
      </c>
      <c r="C13" s="121">
        <v>0.6</v>
      </c>
      <c r="D13" s="121">
        <v>0.75</v>
      </c>
      <c r="E13" s="136">
        <f>Assumptions!B168</f>
        <v>0.3</v>
      </c>
      <c r="F13" s="136">
        <f>Assumptions!B169</f>
        <v>0.2</v>
      </c>
      <c r="G13" t="s">
        <v>69</v>
      </c>
      <c r="H13" t="s">
        <v>80</v>
      </c>
    </row>
    <row r="14" spans="1:8" x14ac:dyDescent="0.25">
      <c r="A14" t="s">
        <v>81</v>
      </c>
      <c r="B14" s="121">
        <v>1000</v>
      </c>
      <c r="C14" s="121">
        <f>Assumptions!B170</f>
        <v>1200</v>
      </c>
      <c r="D14" s="121">
        <f>Assumptions!B171</f>
        <v>1400</v>
      </c>
      <c r="E14" s="136">
        <v>1000</v>
      </c>
      <c r="F14" s="136">
        <v>800</v>
      </c>
      <c r="G14" t="s">
        <v>82</v>
      </c>
      <c r="H14" t="s">
        <v>83</v>
      </c>
    </row>
    <row r="15" spans="1:8" x14ac:dyDescent="0.25">
      <c r="A15" t="s">
        <v>84</v>
      </c>
      <c r="B15" s="121">
        <v>249</v>
      </c>
      <c r="C15" s="121">
        <f>Assumptions!B172</f>
        <v>299</v>
      </c>
      <c r="D15" s="121">
        <v>349</v>
      </c>
      <c r="E15" s="136">
        <v>249</v>
      </c>
      <c r="F15" s="136">
        <v>199</v>
      </c>
      <c r="G15" t="s">
        <v>85</v>
      </c>
      <c r="H15" t="s">
        <v>86</v>
      </c>
    </row>
    <row r="18" spans="1:7" ht="15.75" customHeight="1" x14ac:dyDescent="0.25">
      <c r="A18" s="119" t="s">
        <v>87</v>
      </c>
    </row>
    <row r="20" spans="1:7" x14ac:dyDescent="0.25">
      <c r="A20" s="120" t="s">
        <v>88</v>
      </c>
      <c r="B20" s="120" t="s">
        <v>58</v>
      </c>
      <c r="C20" s="120" t="s">
        <v>59</v>
      </c>
      <c r="D20" s="120" t="s">
        <v>60</v>
      </c>
      <c r="G20" s="120" t="s">
        <v>64</v>
      </c>
    </row>
    <row r="21" spans="1:7" x14ac:dyDescent="0.25">
      <c r="A21" t="s">
        <v>89</v>
      </c>
      <c r="B21">
        <f>ROUND(B7*(1+B8)^12*(1-B10)^12,0)</f>
        <v>2</v>
      </c>
      <c r="C21">
        <f>ROUND(C7*(1+C8)^12*(1-C10)^12,0)</f>
        <v>12</v>
      </c>
      <c r="D21">
        <f>ROUND(D7*(1+D8)^12*(1-D10)^12,0)</f>
        <v>37</v>
      </c>
      <c r="G21" t="s">
        <v>90</v>
      </c>
    </row>
    <row r="22" spans="1:7" x14ac:dyDescent="0.25">
      <c r="A22" t="s">
        <v>91</v>
      </c>
      <c r="B22">
        <f>ROUND(B21*(1+B9)^12*(1-B11)^12,0)</f>
        <v>5</v>
      </c>
      <c r="C22">
        <f>ROUND(C21*(1+C9)^12*(1-C11)^12,0)</f>
        <v>171</v>
      </c>
      <c r="D22">
        <f>ROUND(D21*(1+D9)^12*(1-D11)^12,0)</f>
        <v>1646</v>
      </c>
      <c r="G22" t="s">
        <v>92</v>
      </c>
    </row>
    <row r="23" spans="1:7" x14ac:dyDescent="0.25">
      <c r="A23" t="s">
        <v>93</v>
      </c>
      <c r="B23">
        <f>B21*12*(B14+B12*B15+B13*400)</f>
        <v>45768</v>
      </c>
      <c r="C23">
        <f>C21*12*(C14+C12*C15+C13*400)</f>
        <v>422640</v>
      </c>
      <c r="D23">
        <f>D21*12*(D14+D12*D15+D13*400)</f>
        <v>1839492</v>
      </c>
      <c r="G23" t="s">
        <v>94</v>
      </c>
    </row>
    <row r="24" spans="1:7" x14ac:dyDescent="0.25">
      <c r="A24" t="s">
        <v>95</v>
      </c>
      <c r="B24">
        <f>B22*12*(B14+B12*B15+B13*400)</f>
        <v>114420</v>
      </c>
      <c r="C24">
        <f>C22*12*(C14+C12*C15+C13*400)</f>
        <v>6022620</v>
      </c>
      <c r="D24">
        <f>D22*12*(D14+D12*D15+D13*400)</f>
        <v>81832536</v>
      </c>
      <c r="G24" t="s">
        <v>96</v>
      </c>
    </row>
    <row r="25" spans="1:7" x14ac:dyDescent="0.25">
      <c r="A25" t="s">
        <v>97</v>
      </c>
      <c r="B25">
        <f>B23+B24</f>
        <v>160188</v>
      </c>
      <c r="C25">
        <f>C23+C24</f>
        <v>6445260</v>
      </c>
      <c r="D25">
        <f>D23+D24</f>
        <v>83672028</v>
      </c>
      <c r="G25" t="s">
        <v>98</v>
      </c>
    </row>
    <row r="26" spans="1:7" x14ac:dyDescent="0.25">
      <c r="A26" t="s">
        <v>99</v>
      </c>
      <c r="B26">
        <f>Assumptions!B173</f>
        <v>15000</v>
      </c>
      <c r="C26">
        <f>Assumptions!B174</f>
        <v>12000</v>
      </c>
      <c r="D26">
        <f>Assumptions!B175</f>
        <v>10000</v>
      </c>
      <c r="G26" t="s">
        <v>100</v>
      </c>
    </row>
    <row r="27" spans="1:7" x14ac:dyDescent="0.25">
      <c r="A27" t="s">
        <v>101</v>
      </c>
      <c r="B27">
        <f>IFERROR(IF(B26&gt;0,ROUND('Startup Costs-Led BuildWA'!$B$90/B26,0),0), 0)</f>
        <v>13</v>
      </c>
      <c r="C27">
        <f>IFERROR(IF(C26&gt;0,ROUND('Startup Costs-Led BuildWA'!$B$90/C26,0),0), 0)</f>
        <v>16</v>
      </c>
      <c r="D27">
        <f>IFERROR(IF(D26&gt;0,ROUND('Startup Costs-Led BuildWA'!$B$90/D26,0),0), 0)</f>
        <v>19</v>
      </c>
      <c r="G27" t="s">
        <v>102</v>
      </c>
    </row>
    <row r="30" spans="1:7" ht="15.75" customHeight="1" x14ac:dyDescent="0.25">
      <c r="A30" s="119" t="s">
        <v>103</v>
      </c>
    </row>
    <row r="32" spans="1:7" x14ac:dyDescent="0.25">
      <c r="A32" s="120" t="s">
        <v>104</v>
      </c>
      <c r="B32" s="120" t="s">
        <v>105</v>
      </c>
      <c r="C32" s="120" t="s">
        <v>106</v>
      </c>
      <c r="D32" s="120" t="s">
        <v>107</v>
      </c>
    </row>
    <row r="33" spans="1:4" x14ac:dyDescent="0.25">
      <c r="A33" t="s">
        <v>58</v>
      </c>
      <c r="B33">
        <v>24</v>
      </c>
      <c r="C33">
        <f>B26</f>
        <v>15000</v>
      </c>
      <c r="D33" t="s">
        <v>108</v>
      </c>
    </row>
    <row r="34" spans="1:4" x14ac:dyDescent="0.25">
      <c r="A34" t="s">
        <v>59</v>
      </c>
      <c r="B34">
        <v>18</v>
      </c>
      <c r="C34">
        <f>C26</f>
        <v>12000</v>
      </c>
      <c r="D34" t="s">
        <v>109</v>
      </c>
    </row>
    <row r="35" spans="1:4" x14ac:dyDescent="0.25">
      <c r="A35" t="s">
        <v>60</v>
      </c>
      <c r="B35">
        <v>12</v>
      </c>
      <c r="C35">
        <f>D26</f>
        <v>10000</v>
      </c>
      <c r="D35" t="s">
        <v>110</v>
      </c>
    </row>
  </sheetData>
  <mergeCells count="2">
    <mergeCell ref="A2:H2"/>
    <mergeCell ref="A1:H1"/>
  </mergeCells>
  <dataValidations count="1">
    <dataValidation type="decimal" allowBlank="1" showErrorMessage="1" errorTitle="Invalid Rate" error="Rate must be between 0% and 50% (enter as decimal, e.g., 0.10 = 10%)" sqref="E8 E9 E10 E11 E13 F8 F9 F10 F11 F13" xr:uid="{00000000-0002-0000-0300-000000000000}">
      <formula1>0</formula1>
      <formula2>0.5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workbookViewId="0">
      <selection activeCell="D29" sqref="D29"/>
    </sheetView>
  </sheetViews>
  <sheetFormatPr defaultRowHeight="15" x14ac:dyDescent="0.25"/>
  <cols>
    <col min="1" max="1" width="36.7109375" bestFit="1" customWidth="1"/>
    <col min="2" max="2" width="23.7109375" bestFit="1" customWidth="1"/>
    <col min="3" max="3" width="53.140625" bestFit="1" customWidth="1"/>
    <col min="4" max="4" width="62" bestFit="1" customWidth="1"/>
    <col min="5" max="5" width="70.85546875" bestFit="1" customWidth="1"/>
    <col min="6" max="6" width="13.28515625" bestFit="1" customWidth="1"/>
    <col min="7" max="7" width="15" customWidth="1"/>
  </cols>
  <sheetData>
    <row r="1" spans="1:7" ht="21" customHeight="1" x14ac:dyDescent="0.35">
      <c r="A1" s="139" t="s">
        <v>111</v>
      </c>
      <c r="B1" s="138"/>
      <c r="C1" s="138"/>
      <c r="D1" s="138"/>
      <c r="E1" s="138"/>
      <c r="F1" s="138"/>
      <c r="G1" s="138"/>
    </row>
    <row r="2" spans="1:7" x14ac:dyDescent="0.25">
      <c r="A2" s="137" t="s">
        <v>112</v>
      </c>
      <c r="B2" s="138"/>
      <c r="C2" s="138"/>
      <c r="D2" s="138"/>
      <c r="E2" s="138"/>
      <c r="F2" s="138"/>
      <c r="G2" s="138"/>
    </row>
    <row r="4" spans="1:7" x14ac:dyDescent="0.25">
      <c r="A4" s="122" t="s">
        <v>113</v>
      </c>
      <c r="B4" s="122" t="s">
        <v>114</v>
      </c>
      <c r="C4" s="122" t="s">
        <v>115</v>
      </c>
      <c r="D4" s="122" t="s">
        <v>116</v>
      </c>
      <c r="E4" s="122" t="s">
        <v>117</v>
      </c>
      <c r="F4" s="122" t="s">
        <v>118</v>
      </c>
      <c r="G4" s="122" t="s">
        <v>119</v>
      </c>
    </row>
    <row r="5" spans="1:7" x14ac:dyDescent="0.25">
      <c r="A5" s="123">
        <v>1</v>
      </c>
      <c r="B5" s="123" t="s">
        <v>120</v>
      </c>
      <c r="C5" s="123" t="s">
        <v>121</v>
      </c>
      <c r="D5" s="123" t="s">
        <v>122</v>
      </c>
      <c r="E5" s="123" t="s">
        <v>123</v>
      </c>
      <c r="F5" s="123" t="s">
        <v>124</v>
      </c>
      <c r="G5" s="123" t="s">
        <v>125</v>
      </c>
    </row>
    <row r="6" spans="1:7" x14ac:dyDescent="0.25">
      <c r="A6" s="128">
        <v>2</v>
      </c>
      <c r="B6" s="128" t="s">
        <v>126</v>
      </c>
      <c r="C6" s="128" t="s">
        <v>127</v>
      </c>
      <c r="D6" s="128" t="s">
        <v>128</v>
      </c>
      <c r="E6" s="128" t="s">
        <v>129</v>
      </c>
      <c r="F6" s="128" t="s">
        <v>130</v>
      </c>
      <c r="G6" s="128" t="s">
        <v>131</v>
      </c>
    </row>
    <row r="7" spans="1:7" x14ac:dyDescent="0.25">
      <c r="A7" s="128">
        <v>3</v>
      </c>
      <c r="B7" s="128" t="s">
        <v>132</v>
      </c>
      <c r="C7" s="128" t="s">
        <v>133</v>
      </c>
      <c r="D7" s="128" t="s">
        <v>134</v>
      </c>
      <c r="E7" s="128" t="s">
        <v>135</v>
      </c>
      <c r="F7" s="128" t="s">
        <v>136</v>
      </c>
      <c r="G7" s="128" t="s">
        <v>137</v>
      </c>
    </row>
    <row r="8" spans="1:7" x14ac:dyDescent="0.25">
      <c r="A8" s="128">
        <v>4</v>
      </c>
      <c r="B8" s="128" t="s">
        <v>138</v>
      </c>
      <c r="C8" s="128" t="s">
        <v>139</v>
      </c>
      <c r="D8" s="128" t="s">
        <v>140</v>
      </c>
      <c r="E8" s="128" t="s">
        <v>141</v>
      </c>
      <c r="F8" s="128" t="s">
        <v>142</v>
      </c>
      <c r="G8" s="128" t="s">
        <v>143</v>
      </c>
    </row>
    <row r="9" spans="1:7" x14ac:dyDescent="0.25">
      <c r="A9" s="128">
        <v>5</v>
      </c>
      <c r="B9" s="128" t="s">
        <v>144</v>
      </c>
      <c r="C9" s="128" t="s">
        <v>145</v>
      </c>
      <c r="D9" s="128" t="s">
        <v>146</v>
      </c>
      <c r="E9" s="128" t="s">
        <v>147</v>
      </c>
      <c r="F9" s="128" t="s">
        <v>148</v>
      </c>
      <c r="G9" s="128" t="s">
        <v>149</v>
      </c>
    </row>
    <row r="10" spans="1:7" x14ac:dyDescent="0.25">
      <c r="A10" s="128">
        <v>6</v>
      </c>
      <c r="B10" s="128" t="s">
        <v>150</v>
      </c>
      <c r="C10" s="128" t="s">
        <v>151</v>
      </c>
      <c r="D10" s="128" t="s">
        <v>152</v>
      </c>
      <c r="E10" s="128" t="s">
        <v>153</v>
      </c>
      <c r="F10" s="128" t="s">
        <v>154</v>
      </c>
      <c r="G10" s="128" t="s">
        <v>155</v>
      </c>
    </row>
    <row r="11" spans="1:7" x14ac:dyDescent="0.25">
      <c r="A11" s="128">
        <v>7</v>
      </c>
      <c r="B11" s="128" t="s">
        <v>156</v>
      </c>
      <c r="C11" s="128" t="s">
        <v>157</v>
      </c>
      <c r="D11" s="128" t="s">
        <v>158</v>
      </c>
      <c r="E11" s="128" t="s">
        <v>159</v>
      </c>
      <c r="F11" s="128" t="s">
        <v>160</v>
      </c>
      <c r="G11" s="128" t="s">
        <v>161</v>
      </c>
    </row>
    <row r="12" spans="1:7" x14ac:dyDescent="0.25">
      <c r="A12" s="128">
        <v>8</v>
      </c>
      <c r="B12" s="128" t="s">
        <v>162</v>
      </c>
      <c r="C12" s="128" t="s">
        <v>163</v>
      </c>
      <c r="D12" s="128" t="s">
        <v>164</v>
      </c>
      <c r="E12" s="128" t="s">
        <v>165</v>
      </c>
      <c r="F12" s="128" t="s">
        <v>166</v>
      </c>
      <c r="G12" s="128" t="s">
        <v>167</v>
      </c>
    </row>
    <row r="13" spans="1:7" x14ac:dyDescent="0.25">
      <c r="A13" s="129">
        <v>9</v>
      </c>
      <c r="B13" s="129" t="s">
        <v>168</v>
      </c>
      <c r="C13" s="129" t="s">
        <v>169</v>
      </c>
      <c r="D13" s="129" t="s">
        <v>170</v>
      </c>
      <c r="E13" s="129" t="s">
        <v>171</v>
      </c>
      <c r="F13" s="129" t="s">
        <v>172</v>
      </c>
      <c r="G13" s="129" t="s">
        <v>173</v>
      </c>
    </row>
    <row r="14" spans="1:7" x14ac:dyDescent="0.25">
      <c r="A14" s="129">
        <f>Assumptions!B176</f>
        <v>10</v>
      </c>
      <c r="B14" s="129" t="s">
        <v>174</v>
      </c>
      <c r="C14" s="129" t="s">
        <v>175</v>
      </c>
      <c r="D14" s="129" t="s">
        <v>176</v>
      </c>
      <c r="E14" s="129" t="s">
        <v>177</v>
      </c>
      <c r="F14" s="129" t="s">
        <v>178</v>
      </c>
      <c r="G14" s="129" t="s">
        <v>179</v>
      </c>
    </row>
    <row r="15" spans="1:7" x14ac:dyDescent="0.25">
      <c r="A15" s="129">
        <v>11</v>
      </c>
      <c r="B15" s="129" t="s">
        <v>180</v>
      </c>
      <c r="C15" s="129" t="s">
        <v>181</v>
      </c>
      <c r="D15" s="129" t="s">
        <v>182</v>
      </c>
      <c r="E15" s="129" t="s">
        <v>183</v>
      </c>
      <c r="F15" s="129" t="s">
        <v>184</v>
      </c>
      <c r="G15" s="129" t="s">
        <v>185</v>
      </c>
    </row>
    <row r="16" spans="1:7" ht="15.75" customHeight="1" x14ac:dyDescent="0.25">
      <c r="A16" s="119"/>
    </row>
    <row r="18" spans="1:5" ht="15.75" customHeight="1" x14ac:dyDescent="0.25">
      <c r="A18" s="119" t="s">
        <v>186</v>
      </c>
      <c r="B18" s="130"/>
      <c r="C18" s="130"/>
      <c r="D18" s="130"/>
      <c r="E18" s="130"/>
    </row>
    <row r="20" spans="1:5" x14ac:dyDescent="0.25">
      <c r="A20" s="122" t="s">
        <v>187</v>
      </c>
      <c r="B20" s="122" t="s">
        <v>188</v>
      </c>
      <c r="C20" s="122" t="s">
        <v>189</v>
      </c>
      <c r="D20" s="122" t="s">
        <v>190</v>
      </c>
      <c r="E20" s="122" t="s">
        <v>118</v>
      </c>
    </row>
    <row r="21" spans="1:5" x14ac:dyDescent="0.25">
      <c r="A21" s="124" t="s">
        <v>191</v>
      </c>
      <c r="B21" s="124" t="s">
        <v>192</v>
      </c>
      <c r="C21" s="124">
        <f>Assumptions!B177</f>
        <v>187974</v>
      </c>
      <c r="D21" s="124" t="s">
        <v>167</v>
      </c>
      <c r="E21" s="124" t="s">
        <v>193</v>
      </c>
    </row>
    <row r="22" spans="1:5" x14ac:dyDescent="0.25">
      <c r="A22" s="124" t="s">
        <v>194</v>
      </c>
      <c r="B22" s="124" t="s">
        <v>195</v>
      </c>
      <c r="C22" s="124">
        <f>Assumptions!B178</f>
        <v>525000</v>
      </c>
      <c r="D22" s="124" t="s">
        <v>196</v>
      </c>
      <c r="E22" s="124" t="s">
        <v>197</v>
      </c>
    </row>
    <row r="23" spans="1:5" x14ac:dyDescent="0.25">
      <c r="A23" s="124" t="s">
        <v>198</v>
      </c>
      <c r="B23" s="124" t="s">
        <v>199</v>
      </c>
      <c r="C23" s="124">
        <f>Assumptions!B179</f>
        <v>1375000</v>
      </c>
      <c r="D23" s="124" t="s">
        <v>200</v>
      </c>
      <c r="E23" s="124" t="s">
        <v>201</v>
      </c>
    </row>
    <row r="24" spans="1:5" x14ac:dyDescent="0.25">
      <c r="A24" s="124" t="s">
        <v>202</v>
      </c>
      <c r="B24" s="124" t="s">
        <v>203</v>
      </c>
      <c r="C24" s="124">
        <f>Assumptions!B180</f>
        <v>1350000</v>
      </c>
      <c r="D24" s="124" t="s">
        <v>204</v>
      </c>
      <c r="E24" s="124" t="s">
        <v>205</v>
      </c>
    </row>
    <row r="25" spans="1:5" x14ac:dyDescent="0.25">
      <c r="A25" s="124" t="s">
        <v>206</v>
      </c>
      <c r="B25" s="124">
        <f>Assumptions!B181</f>
        <v>11</v>
      </c>
      <c r="C25" s="124">
        <f>Assumptions!B182</f>
        <v>900000</v>
      </c>
      <c r="D25" s="124" t="s">
        <v>207</v>
      </c>
      <c r="E25" s="124" t="s">
        <v>184</v>
      </c>
    </row>
    <row r="28" spans="1:5" x14ac:dyDescent="0.25">
      <c r="A28" s="126" t="s">
        <v>208</v>
      </c>
    </row>
    <row r="29" spans="1:5" x14ac:dyDescent="0.25">
      <c r="A29" s="131" t="s">
        <v>209</v>
      </c>
    </row>
    <row r="30" spans="1:5" x14ac:dyDescent="0.25">
      <c r="A30" s="132" t="s">
        <v>210</v>
      </c>
    </row>
    <row r="31" spans="1:5" x14ac:dyDescent="0.25">
      <c r="A31" s="133" t="s">
        <v>211</v>
      </c>
    </row>
    <row r="33" spans="1:2" ht="15.75" customHeight="1" x14ac:dyDescent="0.25">
      <c r="A33" s="126" t="s">
        <v>212</v>
      </c>
      <c r="B33" s="119">
        <f>Assumptions!B183</f>
        <v>4337974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5"/>
  <sheetViews>
    <sheetView zoomScaleNormal="100" workbookViewId="0">
      <selection activeCell="C10" sqref="C10"/>
    </sheetView>
  </sheetViews>
  <sheetFormatPr defaultRowHeight="15" x14ac:dyDescent="0.25"/>
  <cols>
    <col min="1" max="6" width="25" customWidth="1"/>
    <col min="7" max="7" width="49.42578125" bestFit="1" customWidth="1"/>
    <col min="8" max="8" width="8.140625" bestFit="1" customWidth="1"/>
  </cols>
  <sheetData>
    <row r="1" spans="1:5" ht="18.75" customHeight="1" x14ac:dyDescent="0.3">
      <c r="A1" s="141" t="s">
        <v>213</v>
      </c>
      <c r="B1" s="138"/>
      <c r="C1" s="138"/>
      <c r="D1" s="138"/>
      <c r="E1" s="138"/>
    </row>
    <row r="2" spans="1:5" x14ac:dyDescent="0.25">
      <c r="A2" s="146" t="s">
        <v>214</v>
      </c>
      <c r="B2" s="138"/>
      <c r="C2" s="138"/>
      <c r="D2" s="138"/>
      <c r="E2" s="138"/>
    </row>
    <row r="3" spans="1:5" x14ac:dyDescent="0.25">
      <c r="A3" s="145" t="s">
        <v>215</v>
      </c>
      <c r="B3" s="138"/>
      <c r="C3" s="138"/>
      <c r="D3" s="138"/>
      <c r="E3" s="138"/>
    </row>
    <row r="5" spans="1:5" x14ac:dyDescent="0.25">
      <c r="A5" s="6" t="s">
        <v>216</v>
      </c>
      <c r="B5" s="6" t="s">
        <v>217</v>
      </c>
      <c r="C5" s="6" t="s">
        <v>218</v>
      </c>
      <c r="D5" s="6" t="s">
        <v>63</v>
      </c>
      <c r="E5" s="6" t="s">
        <v>64</v>
      </c>
    </row>
    <row r="6" spans="1:5" x14ac:dyDescent="0.25">
      <c r="A6" s="142" t="s">
        <v>219</v>
      </c>
      <c r="B6" s="143"/>
      <c r="C6" s="143"/>
      <c r="D6" s="143"/>
      <c r="E6" s="144"/>
    </row>
    <row r="7" spans="1:5" ht="24" customHeight="1" x14ac:dyDescent="0.25">
      <c r="A7" s="7" t="s">
        <v>220</v>
      </c>
      <c r="B7" s="8" t="s">
        <v>221</v>
      </c>
      <c r="C7" s="9">
        <v>1200</v>
      </c>
      <c r="D7" s="10" t="s">
        <v>82</v>
      </c>
      <c r="E7" s="11" t="s">
        <v>222</v>
      </c>
    </row>
    <row r="8" spans="1:5" ht="24" customHeight="1" x14ac:dyDescent="0.25">
      <c r="A8" s="8" t="s">
        <v>220</v>
      </c>
      <c r="B8" s="8" t="s">
        <v>223</v>
      </c>
      <c r="C8" s="9">
        <v>100</v>
      </c>
      <c r="D8" s="10" t="s">
        <v>82</v>
      </c>
      <c r="E8" s="11" t="s">
        <v>224</v>
      </c>
    </row>
    <row r="9" spans="1:5" ht="24" customHeight="1" x14ac:dyDescent="0.25">
      <c r="A9" s="8" t="s">
        <v>220</v>
      </c>
      <c r="B9" s="8" t="s">
        <v>225</v>
      </c>
      <c r="C9" s="9">
        <v>1200</v>
      </c>
      <c r="D9" s="10" t="s">
        <v>82</v>
      </c>
      <c r="E9" s="11" t="s">
        <v>226</v>
      </c>
    </row>
    <row r="10" spans="1:5" ht="24" customHeight="1" x14ac:dyDescent="0.25">
      <c r="A10" s="8" t="s">
        <v>220</v>
      </c>
      <c r="B10" s="8" t="s">
        <v>227</v>
      </c>
      <c r="C10" s="9">
        <v>299</v>
      </c>
      <c r="D10" s="10" t="s">
        <v>85</v>
      </c>
      <c r="E10" s="11" t="s">
        <v>228</v>
      </c>
    </row>
    <row r="11" spans="1:5" x14ac:dyDescent="0.25">
      <c r="A11" s="138"/>
      <c r="B11" s="138"/>
      <c r="C11" s="138"/>
      <c r="D11" s="138"/>
      <c r="E11" s="138"/>
    </row>
    <row r="12" spans="1:5" x14ac:dyDescent="0.25">
      <c r="A12" s="112" t="s">
        <v>229</v>
      </c>
      <c r="B12" s="109"/>
      <c r="C12" s="109"/>
      <c r="D12" s="109"/>
      <c r="E12" s="110"/>
    </row>
    <row r="13" spans="1:5" ht="24" customHeight="1" x14ac:dyDescent="0.25">
      <c r="A13" s="7" t="s">
        <v>230</v>
      </c>
      <c r="B13" s="8" t="s">
        <v>231</v>
      </c>
      <c r="C13" s="9">
        <v>3500000</v>
      </c>
      <c r="D13" s="10" t="s">
        <v>232</v>
      </c>
      <c r="E13" s="11" t="s">
        <v>233</v>
      </c>
    </row>
    <row r="14" spans="1:5" ht="24" customHeight="1" x14ac:dyDescent="0.25">
      <c r="A14" s="8" t="s">
        <v>230</v>
      </c>
      <c r="B14" s="8" t="s">
        <v>234</v>
      </c>
      <c r="C14" s="9">
        <v>94</v>
      </c>
      <c r="D14" s="10" t="s">
        <v>69</v>
      </c>
      <c r="E14" s="11" t="s">
        <v>235</v>
      </c>
    </row>
    <row r="15" spans="1:5" ht="24" customHeight="1" x14ac:dyDescent="0.25">
      <c r="A15" s="8" t="s">
        <v>230</v>
      </c>
      <c r="B15" s="8" t="s">
        <v>236</v>
      </c>
      <c r="C15" s="9">
        <v>3290000</v>
      </c>
      <c r="D15" s="10" t="s">
        <v>237</v>
      </c>
      <c r="E15" s="11" t="s">
        <v>238</v>
      </c>
    </row>
    <row r="16" spans="1:5" ht="25.5" customHeight="1" x14ac:dyDescent="0.25">
      <c r="A16" s="7" t="s">
        <v>239</v>
      </c>
      <c r="B16" s="8" t="s">
        <v>240</v>
      </c>
      <c r="C16" s="9">
        <v>15</v>
      </c>
      <c r="D16" s="10" t="s">
        <v>69</v>
      </c>
      <c r="E16" s="11" t="s">
        <v>241</v>
      </c>
    </row>
    <row r="17" spans="1:5" ht="25.5" customHeight="1" x14ac:dyDescent="0.25">
      <c r="A17" s="8" t="s">
        <v>239</v>
      </c>
      <c r="B17" s="8" t="s">
        <v>242</v>
      </c>
      <c r="C17" s="9">
        <v>30</v>
      </c>
      <c r="D17" s="10" t="s">
        <v>69</v>
      </c>
      <c r="E17" s="11" t="s">
        <v>243</v>
      </c>
    </row>
    <row r="18" spans="1:5" ht="25.5" customHeight="1" x14ac:dyDescent="0.25">
      <c r="A18" s="8" t="s">
        <v>239</v>
      </c>
      <c r="B18" s="8" t="s">
        <v>244</v>
      </c>
      <c r="C18" s="9">
        <v>25</v>
      </c>
      <c r="D18" s="10" t="s">
        <v>69</v>
      </c>
      <c r="E18" s="11" t="s">
        <v>245</v>
      </c>
    </row>
    <row r="19" spans="1:5" x14ac:dyDescent="0.25">
      <c r="A19" s="138"/>
      <c r="B19" s="138"/>
      <c r="C19" s="138"/>
      <c r="D19" s="138"/>
      <c r="E19" s="138"/>
    </row>
    <row r="20" spans="1:5" x14ac:dyDescent="0.25">
      <c r="A20" s="112" t="s">
        <v>246</v>
      </c>
      <c r="B20" s="109"/>
      <c r="C20" s="109"/>
      <c r="D20" s="109"/>
      <c r="E20" s="110"/>
    </row>
    <row r="21" spans="1:5" ht="24" customHeight="1" x14ac:dyDescent="0.25">
      <c r="A21" s="7" t="s">
        <v>247</v>
      </c>
      <c r="B21" s="8" t="s">
        <v>248</v>
      </c>
      <c r="C21" s="9">
        <v>16.28</v>
      </c>
      <c r="D21" s="10" t="s">
        <v>249</v>
      </c>
      <c r="E21" s="11" t="s">
        <v>250</v>
      </c>
    </row>
    <row r="22" spans="1:5" x14ac:dyDescent="0.25">
      <c r="A22" s="8" t="s">
        <v>247</v>
      </c>
      <c r="B22" s="8" t="s">
        <v>251</v>
      </c>
      <c r="C22" s="9">
        <v>35</v>
      </c>
      <c r="D22" s="10" t="s">
        <v>69</v>
      </c>
      <c r="E22" s="11" t="s">
        <v>252</v>
      </c>
    </row>
    <row r="23" spans="1:5" ht="25.5" customHeight="1" x14ac:dyDescent="0.25">
      <c r="A23" s="8" t="s">
        <v>247</v>
      </c>
      <c r="B23" s="8" t="s">
        <v>253</v>
      </c>
      <c r="C23" s="9">
        <v>46.51</v>
      </c>
      <c r="D23" s="10" t="s">
        <v>254</v>
      </c>
      <c r="E23" s="11" t="s">
        <v>255</v>
      </c>
    </row>
    <row r="24" spans="1:5" ht="25.5" customHeight="1" x14ac:dyDescent="0.25">
      <c r="A24" s="8" t="s">
        <v>247</v>
      </c>
      <c r="B24" s="8" t="s">
        <v>256</v>
      </c>
      <c r="C24" s="12" t="s">
        <v>257</v>
      </c>
      <c r="D24" s="10"/>
      <c r="E24" s="11" t="s">
        <v>258</v>
      </c>
    </row>
    <row r="26" spans="1:5" ht="25.5" customHeight="1" x14ac:dyDescent="0.25">
      <c r="A26" s="7" t="s">
        <v>259</v>
      </c>
      <c r="B26" s="8" t="s">
        <v>260</v>
      </c>
      <c r="C26" s="9">
        <v>450</v>
      </c>
      <c r="D26" s="10" t="s">
        <v>261</v>
      </c>
      <c r="E26" s="11" t="s">
        <v>262</v>
      </c>
    </row>
    <row r="27" spans="1:5" x14ac:dyDescent="0.25">
      <c r="A27" s="8" t="s">
        <v>259</v>
      </c>
      <c r="B27" s="8" t="s">
        <v>263</v>
      </c>
      <c r="C27" s="9">
        <v>14</v>
      </c>
      <c r="D27" s="10" t="s">
        <v>264</v>
      </c>
      <c r="E27" s="11" t="s">
        <v>265</v>
      </c>
    </row>
    <row r="28" spans="1:5" ht="25.5" customHeight="1" x14ac:dyDescent="0.25">
      <c r="A28" s="8" t="s">
        <v>259</v>
      </c>
      <c r="B28" s="8" t="s">
        <v>266</v>
      </c>
      <c r="C28" s="9">
        <v>48</v>
      </c>
      <c r="D28" s="10" t="s">
        <v>66</v>
      </c>
      <c r="E28" s="11" t="s">
        <v>267</v>
      </c>
    </row>
    <row r="29" spans="1:5" x14ac:dyDescent="0.25">
      <c r="A29" s="8" t="s">
        <v>259</v>
      </c>
      <c r="B29" s="8" t="s">
        <v>268</v>
      </c>
      <c r="C29" s="9">
        <v>125</v>
      </c>
      <c r="D29" s="10" t="s">
        <v>269</v>
      </c>
      <c r="E29" s="11" t="s">
        <v>270</v>
      </c>
    </row>
    <row r="30" spans="1:5" x14ac:dyDescent="0.25">
      <c r="A30" s="138"/>
      <c r="B30" s="138"/>
      <c r="C30" s="138"/>
      <c r="D30" s="138"/>
      <c r="E30" s="138"/>
    </row>
    <row r="31" spans="1:5" x14ac:dyDescent="0.25">
      <c r="A31" s="112" t="s">
        <v>271</v>
      </c>
      <c r="B31" s="109"/>
      <c r="C31" s="109"/>
      <c r="D31" s="109"/>
      <c r="E31" s="110"/>
    </row>
    <row r="32" spans="1:5" x14ac:dyDescent="0.25">
      <c r="A32" s="7" t="s">
        <v>272</v>
      </c>
      <c r="B32" s="8" t="s">
        <v>273</v>
      </c>
      <c r="C32" s="9">
        <v>7</v>
      </c>
      <c r="D32" s="10" t="s">
        <v>264</v>
      </c>
      <c r="E32" s="11" t="s">
        <v>274</v>
      </c>
    </row>
    <row r="33" spans="1:5" ht="24" customHeight="1" x14ac:dyDescent="0.25">
      <c r="A33" s="8" t="s">
        <v>272</v>
      </c>
      <c r="B33" s="8" t="s">
        <v>275</v>
      </c>
      <c r="C33" s="9">
        <v>85</v>
      </c>
      <c r="D33" s="10" t="s">
        <v>69</v>
      </c>
      <c r="E33" s="11" t="s">
        <v>276</v>
      </c>
    </row>
    <row r="34" spans="1:5" ht="24" customHeight="1" x14ac:dyDescent="0.25">
      <c r="A34" s="8" t="s">
        <v>272</v>
      </c>
      <c r="B34" s="8" t="s">
        <v>277</v>
      </c>
      <c r="C34" s="9">
        <v>78</v>
      </c>
      <c r="D34" s="10" t="s">
        <v>69</v>
      </c>
      <c r="E34" s="11" t="s">
        <v>278</v>
      </c>
    </row>
    <row r="35" spans="1:5" ht="25.5" customHeight="1" x14ac:dyDescent="0.25">
      <c r="A35" s="8" t="s">
        <v>272</v>
      </c>
      <c r="B35" s="8" t="s">
        <v>279</v>
      </c>
      <c r="C35" s="9">
        <v>30</v>
      </c>
      <c r="D35" s="10" t="s">
        <v>264</v>
      </c>
      <c r="E35" s="11" t="s">
        <v>280</v>
      </c>
    </row>
    <row r="37" spans="1:5" x14ac:dyDescent="0.25">
      <c r="A37" s="7" t="s">
        <v>281</v>
      </c>
      <c r="B37" s="8" t="s">
        <v>282</v>
      </c>
      <c r="C37" s="9">
        <v>1200</v>
      </c>
      <c r="D37" s="10" t="s">
        <v>82</v>
      </c>
      <c r="E37" s="11" t="s">
        <v>283</v>
      </c>
    </row>
    <row r="38" spans="1:5" ht="24" customHeight="1" x14ac:dyDescent="0.25">
      <c r="A38" s="8" t="s">
        <v>281</v>
      </c>
      <c r="B38" s="8" t="s">
        <v>284</v>
      </c>
      <c r="C38" s="9">
        <v>65</v>
      </c>
      <c r="D38" s="10" t="s">
        <v>82</v>
      </c>
      <c r="E38" s="11" t="s">
        <v>285</v>
      </c>
    </row>
    <row r="39" spans="1:5" x14ac:dyDescent="0.25">
      <c r="A39" s="8" t="s">
        <v>281</v>
      </c>
      <c r="B39" s="8" t="s">
        <v>286</v>
      </c>
      <c r="C39" s="9">
        <v>1135</v>
      </c>
      <c r="D39" s="10" t="s">
        <v>82</v>
      </c>
      <c r="E39" s="11" t="s">
        <v>287</v>
      </c>
    </row>
    <row r="40" spans="1:5" x14ac:dyDescent="0.25">
      <c r="A40" s="8" t="s">
        <v>281</v>
      </c>
      <c r="B40" s="8" t="s">
        <v>288</v>
      </c>
      <c r="C40" s="9">
        <v>94.6</v>
      </c>
      <c r="D40" s="10" t="s">
        <v>69</v>
      </c>
      <c r="E40" s="11" t="s">
        <v>289</v>
      </c>
    </row>
    <row r="41" spans="1:5" x14ac:dyDescent="0.25">
      <c r="A41" s="138"/>
      <c r="B41" s="138"/>
      <c r="C41" s="138"/>
      <c r="D41" s="138"/>
      <c r="E41" s="138"/>
    </row>
    <row r="42" spans="1:5" x14ac:dyDescent="0.25">
      <c r="A42" s="112" t="s">
        <v>290</v>
      </c>
      <c r="B42" s="109"/>
      <c r="C42" s="109"/>
      <c r="D42" s="109"/>
      <c r="E42" s="110"/>
    </row>
    <row r="43" spans="1:5" ht="25.5" customHeight="1" x14ac:dyDescent="0.25">
      <c r="A43" s="7" t="s">
        <v>291</v>
      </c>
      <c r="B43" s="8" t="s">
        <v>292</v>
      </c>
      <c r="C43" s="9">
        <v>1200</v>
      </c>
      <c r="D43" s="10" t="s">
        <v>85</v>
      </c>
      <c r="E43" s="11" t="s">
        <v>293</v>
      </c>
    </row>
    <row r="44" spans="1:5" ht="25.5" customHeight="1" x14ac:dyDescent="0.25">
      <c r="A44" s="8" t="s">
        <v>291</v>
      </c>
      <c r="B44" s="8" t="s">
        <v>294</v>
      </c>
      <c r="C44" s="9">
        <v>250</v>
      </c>
      <c r="D44" s="10" t="s">
        <v>85</v>
      </c>
      <c r="E44" s="11" t="s">
        <v>295</v>
      </c>
    </row>
    <row r="45" spans="1:5" ht="24" customHeight="1" x14ac:dyDescent="0.25">
      <c r="A45" s="8" t="s">
        <v>291</v>
      </c>
      <c r="B45" s="8" t="s">
        <v>296</v>
      </c>
      <c r="C45" s="9">
        <v>400</v>
      </c>
      <c r="D45" s="10" t="s">
        <v>85</v>
      </c>
      <c r="E45" s="11" t="s">
        <v>297</v>
      </c>
    </row>
    <row r="47" spans="1:5" x14ac:dyDescent="0.25">
      <c r="A47" s="7" t="s">
        <v>298</v>
      </c>
      <c r="B47" s="8" t="s">
        <v>299</v>
      </c>
      <c r="C47" s="9">
        <v>3500</v>
      </c>
      <c r="D47" s="10" t="s">
        <v>85</v>
      </c>
      <c r="E47" s="11" t="s">
        <v>300</v>
      </c>
    </row>
    <row r="48" spans="1:5" ht="25.5" customHeight="1" x14ac:dyDescent="0.25">
      <c r="A48" s="8" t="s">
        <v>298</v>
      </c>
      <c r="B48" s="8" t="s">
        <v>301</v>
      </c>
      <c r="C48" s="9">
        <v>85</v>
      </c>
      <c r="D48" s="10" t="s">
        <v>302</v>
      </c>
      <c r="E48" s="11" t="s">
        <v>303</v>
      </c>
    </row>
    <row r="49" spans="1:5" x14ac:dyDescent="0.25">
      <c r="A49" s="8" t="s">
        <v>298</v>
      </c>
      <c r="B49" s="8" t="s">
        <v>304</v>
      </c>
      <c r="C49" s="9">
        <v>400</v>
      </c>
      <c r="D49" s="10" t="s">
        <v>85</v>
      </c>
      <c r="E49" s="11" t="s">
        <v>305</v>
      </c>
    </row>
    <row r="51" spans="1:5" ht="24" customHeight="1" x14ac:dyDescent="0.25">
      <c r="A51" s="7" t="s">
        <v>306</v>
      </c>
      <c r="B51" s="8" t="s">
        <v>307</v>
      </c>
      <c r="C51" s="9">
        <v>3000</v>
      </c>
      <c r="D51" s="10" t="s">
        <v>85</v>
      </c>
      <c r="E51" s="11" t="s">
        <v>308</v>
      </c>
    </row>
    <row r="52" spans="1:5" ht="24" customHeight="1" x14ac:dyDescent="0.25">
      <c r="A52" s="8" t="s">
        <v>306</v>
      </c>
      <c r="B52" s="8" t="s">
        <v>309</v>
      </c>
      <c r="C52" s="9">
        <v>5000</v>
      </c>
      <c r="D52" s="10" t="s">
        <v>85</v>
      </c>
      <c r="E52" s="11" t="s">
        <v>310</v>
      </c>
    </row>
    <row r="53" spans="1:5" x14ac:dyDescent="0.25">
      <c r="A53" s="8" t="s">
        <v>306</v>
      </c>
      <c r="B53" s="8" t="s">
        <v>311</v>
      </c>
      <c r="C53" s="9">
        <v>500</v>
      </c>
      <c r="D53" s="10" t="s">
        <v>85</v>
      </c>
      <c r="E53" s="11" t="s">
        <v>312</v>
      </c>
    </row>
    <row r="55" spans="1:5" x14ac:dyDescent="0.25">
      <c r="A55" s="7" t="s">
        <v>313</v>
      </c>
      <c r="B55" s="8" t="s">
        <v>314</v>
      </c>
      <c r="C55" s="9">
        <v>650</v>
      </c>
      <c r="D55" s="10" t="s">
        <v>85</v>
      </c>
      <c r="E55" s="11" t="s">
        <v>315</v>
      </c>
    </row>
    <row r="56" spans="1:5" x14ac:dyDescent="0.25">
      <c r="A56" s="8" t="s">
        <v>313</v>
      </c>
      <c r="B56" s="8" t="s">
        <v>316</v>
      </c>
      <c r="C56" s="9">
        <v>1200</v>
      </c>
      <c r="D56" s="10" t="s">
        <v>317</v>
      </c>
      <c r="E56" s="11" t="s">
        <v>318</v>
      </c>
    </row>
    <row r="57" spans="1:5" ht="24" customHeight="1" x14ac:dyDescent="0.25">
      <c r="A57" s="8" t="s">
        <v>313</v>
      </c>
      <c r="B57" s="8" t="s">
        <v>319</v>
      </c>
      <c r="C57" s="9">
        <v>500</v>
      </c>
      <c r="D57" s="10" t="s">
        <v>85</v>
      </c>
      <c r="E57" s="11" t="s">
        <v>320</v>
      </c>
    </row>
    <row r="59" spans="1:5" x14ac:dyDescent="0.25">
      <c r="A59" s="7" t="s">
        <v>321</v>
      </c>
      <c r="B59" s="8" t="s">
        <v>322</v>
      </c>
      <c r="C59" s="9">
        <v>150</v>
      </c>
      <c r="D59" s="10" t="s">
        <v>85</v>
      </c>
      <c r="E59" s="11" t="s">
        <v>323</v>
      </c>
    </row>
    <row r="60" spans="1:5" x14ac:dyDescent="0.25">
      <c r="A60" s="8" t="s">
        <v>321</v>
      </c>
      <c r="B60" s="8" t="s">
        <v>324</v>
      </c>
      <c r="C60" s="9">
        <v>99</v>
      </c>
      <c r="D60" s="10" t="s">
        <v>85</v>
      </c>
      <c r="E60" s="11" t="s">
        <v>325</v>
      </c>
    </row>
    <row r="61" spans="1:5" x14ac:dyDescent="0.25">
      <c r="A61" s="8" t="s">
        <v>321</v>
      </c>
      <c r="B61" s="8" t="s">
        <v>326</v>
      </c>
      <c r="C61" s="9">
        <v>30</v>
      </c>
      <c r="D61" s="10" t="s">
        <v>85</v>
      </c>
      <c r="E61" s="11" t="s">
        <v>327</v>
      </c>
    </row>
    <row r="62" spans="1:5" x14ac:dyDescent="0.25">
      <c r="A62" s="8" t="s">
        <v>321</v>
      </c>
      <c r="B62" s="8" t="s">
        <v>328</v>
      </c>
      <c r="C62" s="9">
        <v>25</v>
      </c>
      <c r="D62" s="10" t="s">
        <v>85</v>
      </c>
      <c r="E62" s="11" t="s">
        <v>329</v>
      </c>
    </row>
    <row r="63" spans="1:5" x14ac:dyDescent="0.25">
      <c r="A63" s="138"/>
      <c r="B63" s="138"/>
      <c r="C63" s="138"/>
      <c r="D63" s="138"/>
      <c r="E63" s="138"/>
    </row>
    <row r="64" spans="1:5" x14ac:dyDescent="0.25">
      <c r="A64" s="112" t="s">
        <v>330</v>
      </c>
      <c r="B64" s="109"/>
      <c r="C64" s="109"/>
      <c r="D64" s="109"/>
      <c r="E64" s="110"/>
    </row>
    <row r="65" spans="1:8" x14ac:dyDescent="0.25">
      <c r="A65" s="7" t="s">
        <v>118</v>
      </c>
      <c r="B65" s="8" t="s">
        <v>331</v>
      </c>
      <c r="C65" s="9">
        <v>4</v>
      </c>
      <c r="D65" s="10" t="s">
        <v>332</v>
      </c>
      <c r="E65" s="11" t="s">
        <v>333</v>
      </c>
      <c r="G65" t="s">
        <v>334</v>
      </c>
    </row>
    <row r="66" spans="1:8" ht="25.5" customHeight="1" x14ac:dyDescent="0.25">
      <c r="A66" s="8" t="s">
        <v>118</v>
      </c>
      <c r="B66" s="8" t="s">
        <v>335</v>
      </c>
      <c r="C66" s="9">
        <v>18</v>
      </c>
      <c r="D66" s="10" t="s">
        <v>332</v>
      </c>
      <c r="E66" s="11" t="s">
        <v>336</v>
      </c>
      <c r="G66" t="s">
        <v>216</v>
      </c>
      <c r="H66" t="s">
        <v>337</v>
      </c>
    </row>
    <row r="67" spans="1:8" ht="25.5" customHeight="1" x14ac:dyDescent="0.25">
      <c r="A67" s="8" t="s">
        <v>118</v>
      </c>
      <c r="B67" s="8" t="s">
        <v>338</v>
      </c>
      <c r="C67" s="9">
        <v>100</v>
      </c>
      <c r="D67" s="10" t="s">
        <v>339</v>
      </c>
      <c r="E67" s="11" t="s">
        <v>340</v>
      </c>
      <c r="G67" t="s">
        <v>341</v>
      </c>
      <c r="H67">
        <v>1850</v>
      </c>
    </row>
    <row r="68" spans="1:8" ht="25.5" customHeight="1" x14ac:dyDescent="0.25">
      <c r="A68" s="8" t="s">
        <v>118</v>
      </c>
      <c r="B68" s="8" t="s">
        <v>342</v>
      </c>
      <c r="C68" s="9">
        <v>500</v>
      </c>
      <c r="D68" s="10" t="s">
        <v>339</v>
      </c>
      <c r="E68" s="11" t="s">
        <v>343</v>
      </c>
      <c r="G68" t="s">
        <v>344</v>
      </c>
      <c r="H68">
        <v>3900</v>
      </c>
    </row>
    <row r="69" spans="1:8" x14ac:dyDescent="0.25">
      <c r="G69" t="s">
        <v>345</v>
      </c>
      <c r="H69">
        <v>8500</v>
      </c>
    </row>
    <row r="70" spans="1:8" x14ac:dyDescent="0.25">
      <c r="A70" s="7" t="s">
        <v>346</v>
      </c>
      <c r="B70" s="8" t="s">
        <v>347</v>
      </c>
      <c r="C70" s="9">
        <v>187974</v>
      </c>
      <c r="D70" s="10" t="s">
        <v>82</v>
      </c>
      <c r="E70" s="11" t="s">
        <v>348</v>
      </c>
      <c r="G70" t="s">
        <v>313</v>
      </c>
      <c r="H70">
        <v>1150</v>
      </c>
    </row>
    <row r="71" spans="1:8" x14ac:dyDescent="0.25">
      <c r="A71" s="8" t="s">
        <v>346</v>
      </c>
      <c r="B71" s="8" t="s">
        <v>349</v>
      </c>
      <c r="C71" s="9">
        <v>50000</v>
      </c>
      <c r="D71" s="10" t="s">
        <v>82</v>
      </c>
      <c r="E71" s="11" t="s">
        <v>350</v>
      </c>
      <c r="G71" t="s">
        <v>351</v>
      </c>
      <c r="H71">
        <v>249</v>
      </c>
    </row>
    <row r="72" spans="1:8" x14ac:dyDescent="0.25">
      <c r="A72" s="8" t="s">
        <v>346</v>
      </c>
      <c r="B72" s="8" t="s">
        <v>352</v>
      </c>
      <c r="C72" s="9">
        <v>237974</v>
      </c>
      <c r="D72" s="10" t="s">
        <v>82</v>
      </c>
      <c r="E72" s="11" t="s">
        <v>353</v>
      </c>
    </row>
    <row r="73" spans="1:8" ht="24" customHeight="1" x14ac:dyDescent="0.25">
      <c r="A73" s="8" t="s">
        <v>346</v>
      </c>
      <c r="B73" s="8" t="s">
        <v>354</v>
      </c>
      <c r="C73" s="9">
        <v>15204</v>
      </c>
      <c r="D73" s="10" t="s">
        <v>85</v>
      </c>
      <c r="E73" s="11" t="s">
        <v>355</v>
      </c>
    </row>
    <row r="74" spans="1:8" x14ac:dyDescent="0.25">
      <c r="A74" s="138"/>
      <c r="B74" s="138"/>
      <c r="C74" s="138"/>
      <c r="D74" s="138"/>
      <c r="E74" s="138"/>
    </row>
    <row r="75" spans="1:8" x14ac:dyDescent="0.25">
      <c r="A75" s="112" t="s">
        <v>356</v>
      </c>
      <c r="B75" s="109"/>
      <c r="C75" s="109"/>
      <c r="D75" s="109"/>
      <c r="E75" s="110"/>
      <c r="G75" t="s">
        <v>357</v>
      </c>
    </row>
    <row r="76" spans="1:8" ht="25.5" customHeight="1" x14ac:dyDescent="0.25">
      <c r="A76" s="7" t="s">
        <v>358</v>
      </c>
      <c r="B76" s="8" t="s">
        <v>359</v>
      </c>
      <c r="C76" s="12" t="s">
        <v>360</v>
      </c>
      <c r="D76" s="10" t="s">
        <v>77</v>
      </c>
      <c r="E76" s="11" t="s">
        <v>361</v>
      </c>
      <c r="G76" t="s">
        <v>362</v>
      </c>
      <c r="H76" t="s">
        <v>337</v>
      </c>
    </row>
    <row r="77" spans="1:8" ht="25.5" customHeight="1" x14ac:dyDescent="0.25">
      <c r="A77" s="8" t="s">
        <v>358</v>
      </c>
      <c r="B77" s="8" t="s">
        <v>363</v>
      </c>
      <c r="C77" s="12" t="s">
        <v>360</v>
      </c>
      <c r="D77" s="10" t="s">
        <v>82</v>
      </c>
      <c r="E77" s="11" t="s">
        <v>364</v>
      </c>
      <c r="G77" t="s">
        <v>365</v>
      </c>
      <c r="H77">
        <v>5000</v>
      </c>
    </row>
    <row r="78" spans="1:8" ht="24" customHeight="1" x14ac:dyDescent="0.25">
      <c r="A78" s="8" t="s">
        <v>358</v>
      </c>
      <c r="B78" s="8" t="s">
        <v>366</v>
      </c>
      <c r="C78" s="9">
        <v>3</v>
      </c>
      <c r="D78" s="10" t="s">
        <v>367</v>
      </c>
      <c r="E78" s="11" t="s">
        <v>368</v>
      </c>
      <c r="G78" t="s">
        <v>369</v>
      </c>
      <c r="H78">
        <v>3000</v>
      </c>
    </row>
    <row r="79" spans="1:8" ht="24" customHeight="1" x14ac:dyDescent="0.25">
      <c r="A79" s="8" t="s">
        <v>358</v>
      </c>
      <c r="B79" s="8" t="s">
        <v>370</v>
      </c>
      <c r="C79" s="9">
        <v>95</v>
      </c>
      <c r="D79" s="10" t="s">
        <v>69</v>
      </c>
      <c r="E79" s="11" t="s">
        <v>371</v>
      </c>
      <c r="G79" t="s">
        <v>311</v>
      </c>
      <c r="H79">
        <v>500</v>
      </c>
    </row>
    <row r="81" spans="1:8" ht="25.5" customHeight="1" x14ac:dyDescent="0.25">
      <c r="A81" s="7" t="s">
        <v>372</v>
      </c>
      <c r="B81" s="8" t="s">
        <v>373</v>
      </c>
      <c r="C81" s="9">
        <v>250000</v>
      </c>
      <c r="D81" s="10" t="s">
        <v>317</v>
      </c>
      <c r="E81" s="11" t="s">
        <v>374</v>
      </c>
    </row>
    <row r="82" spans="1:8" ht="24" customHeight="1" x14ac:dyDescent="0.25">
      <c r="A82" s="8" t="s">
        <v>372</v>
      </c>
      <c r="B82" s="8" t="s">
        <v>375</v>
      </c>
      <c r="C82" s="9">
        <v>1.5</v>
      </c>
      <c r="D82" s="10" t="s">
        <v>367</v>
      </c>
      <c r="E82" s="11" t="s">
        <v>376</v>
      </c>
    </row>
    <row r="83" spans="1:8" x14ac:dyDescent="0.25">
      <c r="A83" s="8" t="s">
        <v>372</v>
      </c>
      <c r="B83" s="8" t="s">
        <v>377</v>
      </c>
      <c r="C83" s="9">
        <v>6</v>
      </c>
      <c r="D83" s="10" t="s">
        <v>378</v>
      </c>
      <c r="E83" s="11" t="s">
        <v>379</v>
      </c>
      <c r="G83" t="s">
        <v>380</v>
      </c>
    </row>
    <row r="84" spans="1:8" x14ac:dyDescent="0.25">
      <c r="A84" s="138"/>
      <c r="B84" s="138"/>
      <c r="C84" s="138"/>
      <c r="D84" s="138"/>
      <c r="E84" s="138"/>
      <c r="G84" t="s">
        <v>381</v>
      </c>
      <c r="H84" t="s">
        <v>337</v>
      </c>
    </row>
    <row r="85" spans="1:8" x14ac:dyDescent="0.25">
      <c r="A85" s="112" t="s">
        <v>382</v>
      </c>
      <c r="B85" s="109"/>
      <c r="C85" s="109"/>
      <c r="D85" s="109"/>
      <c r="E85" s="110"/>
      <c r="G85" t="s">
        <v>383</v>
      </c>
      <c r="H85">
        <v>6000</v>
      </c>
    </row>
    <row r="86" spans="1:8" x14ac:dyDescent="0.25">
      <c r="A86" s="7" t="s">
        <v>384</v>
      </c>
      <c r="B86" s="8" t="s">
        <v>385</v>
      </c>
      <c r="C86" s="12" t="s">
        <v>386</v>
      </c>
      <c r="D86" s="10"/>
      <c r="E86" s="11" t="s">
        <v>387</v>
      </c>
      <c r="G86" t="s">
        <v>388</v>
      </c>
      <c r="H86">
        <v>299</v>
      </c>
    </row>
    <row r="87" spans="1:8" ht="24" customHeight="1" x14ac:dyDescent="0.25">
      <c r="A87" s="8" t="s">
        <v>384</v>
      </c>
      <c r="B87" s="8" t="s">
        <v>389</v>
      </c>
      <c r="C87" s="12" t="s">
        <v>386</v>
      </c>
      <c r="D87" s="10"/>
      <c r="E87" s="11" t="s">
        <v>390</v>
      </c>
      <c r="G87" t="s">
        <v>391</v>
      </c>
      <c r="H87">
        <v>240</v>
      </c>
    </row>
    <row r="88" spans="1:8" x14ac:dyDescent="0.25">
      <c r="A88" s="8" t="s">
        <v>384</v>
      </c>
      <c r="B88" s="8" t="s">
        <v>392</v>
      </c>
      <c r="C88" s="12" t="s">
        <v>393</v>
      </c>
      <c r="D88" s="10"/>
      <c r="E88" s="11" t="s">
        <v>394</v>
      </c>
      <c r="G88" t="s">
        <v>395</v>
      </c>
      <c r="H88">
        <v>14</v>
      </c>
    </row>
    <row r="89" spans="1:8" ht="24" customHeight="1" x14ac:dyDescent="0.25">
      <c r="A89" s="8" t="s">
        <v>384</v>
      </c>
      <c r="B89" s="8" t="s">
        <v>396</v>
      </c>
      <c r="C89" s="12" t="s">
        <v>393</v>
      </c>
      <c r="D89" s="10"/>
      <c r="E89" s="11" t="s">
        <v>397</v>
      </c>
    </row>
    <row r="91" spans="1:8" x14ac:dyDescent="0.25">
      <c r="A91" s="7" t="s">
        <v>398</v>
      </c>
      <c r="B91" s="8" t="s">
        <v>399</v>
      </c>
      <c r="C91" s="12" t="s">
        <v>400</v>
      </c>
      <c r="D91" s="10"/>
      <c r="E91" s="11" t="s">
        <v>401</v>
      </c>
    </row>
    <row r="92" spans="1:8" x14ac:dyDescent="0.25">
      <c r="A92" s="8" t="s">
        <v>398</v>
      </c>
      <c r="B92" s="8" t="s">
        <v>402</v>
      </c>
      <c r="C92" s="12" t="s">
        <v>403</v>
      </c>
      <c r="D92" s="10"/>
      <c r="E92" s="11" t="s">
        <v>404</v>
      </c>
    </row>
    <row r="93" spans="1:8" x14ac:dyDescent="0.25">
      <c r="A93" s="8" t="s">
        <v>398</v>
      </c>
      <c r="B93" s="8" t="s">
        <v>405</v>
      </c>
      <c r="C93" s="12" t="s">
        <v>406</v>
      </c>
      <c r="D93" s="10"/>
      <c r="E93" s="11" t="s">
        <v>407</v>
      </c>
    </row>
    <row r="94" spans="1:8" x14ac:dyDescent="0.25">
      <c r="A94" s="8" t="s">
        <v>398</v>
      </c>
      <c r="B94" s="8" t="s">
        <v>408</v>
      </c>
      <c r="C94" s="12" t="s">
        <v>409</v>
      </c>
      <c r="D94" s="10"/>
      <c r="E94" s="11" t="s">
        <v>410</v>
      </c>
    </row>
    <row r="96" spans="1:8" x14ac:dyDescent="0.25">
      <c r="A96" s="138"/>
      <c r="B96" s="138"/>
      <c r="C96" s="138"/>
      <c r="D96" s="138"/>
      <c r="E96" s="138"/>
    </row>
    <row r="97" spans="1:5" x14ac:dyDescent="0.25">
      <c r="A97" s="147" t="s">
        <v>411</v>
      </c>
      <c r="B97" s="138"/>
      <c r="C97" s="138"/>
      <c r="D97" s="138"/>
      <c r="E97" s="138"/>
    </row>
    <row r="98" spans="1:5" x14ac:dyDescent="0.25">
      <c r="A98" s="140" t="s">
        <v>412</v>
      </c>
      <c r="B98" s="138"/>
      <c r="C98" s="138"/>
      <c r="D98" s="138"/>
      <c r="E98" s="138"/>
    </row>
    <row r="99" spans="1:5" x14ac:dyDescent="0.25">
      <c r="A99" s="140" t="s">
        <v>413</v>
      </c>
      <c r="B99" s="138"/>
      <c r="C99" s="138"/>
      <c r="D99" s="138"/>
      <c r="E99" s="138"/>
    </row>
    <row r="100" spans="1:5" x14ac:dyDescent="0.25">
      <c r="A100" s="140" t="s">
        <v>414</v>
      </c>
      <c r="B100" s="138"/>
      <c r="C100" s="138"/>
      <c r="D100" s="138"/>
      <c r="E100" s="138"/>
    </row>
    <row r="101" spans="1:5" x14ac:dyDescent="0.25">
      <c r="A101" s="140" t="s">
        <v>415</v>
      </c>
      <c r="B101" s="138"/>
      <c r="C101" s="138"/>
      <c r="D101" s="138"/>
      <c r="E101" s="138"/>
    </row>
    <row r="102" spans="1:5" x14ac:dyDescent="0.25">
      <c r="A102" s="140" t="s">
        <v>416</v>
      </c>
      <c r="B102" s="138"/>
      <c r="C102" s="138"/>
      <c r="D102" s="138"/>
      <c r="E102" s="138"/>
    </row>
    <row r="103" spans="1:5" x14ac:dyDescent="0.25">
      <c r="A103" s="140" t="s">
        <v>417</v>
      </c>
      <c r="B103" s="138"/>
      <c r="C103" s="138"/>
      <c r="D103" s="138"/>
      <c r="E103" s="138"/>
    </row>
    <row r="104" spans="1:5" ht="36" customHeight="1" x14ac:dyDescent="0.25">
      <c r="A104" s="111" t="s">
        <v>418</v>
      </c>
    </row>
    <row r="107" spans="1:5" ht="18.75" customHeight="1" x14ac:dyDescent="0.3">
      <c r="A107" s="125" t="s">
        <v>419</v>
      </c>
    </row>
    <row r="109" spans="1:5" x14ac:dyDescent="0.25">
      <c r="A109" s="120" t="s">
        <v>420</v>
      </c>
      <c r="B109" s="120" t="s">
        <v>115</v>
      </c>
      <c r="C109" s="120" t="s">
        <v>218</v>
      </c>
      <c r="D109" s="120" t="s">
        <v>421</v>
      </c>
      <c r="E109" s="120" t="s">
        <v>64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425</v>
      </c>
      <c r="E110" t="s">
        <v>426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430</v>
      </c>
      <c r="E111" t="s">
        <v>431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435</v>
      </c>
      <c r="E112" t="s">
        <v>436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440</v>
      </c>
      <c r="E113" t="s">
        <v>441</v>
      </c>
    </row>
    <row r="114" spans="1:5" x14ac:dyDescent="0.25">
      <c r="A114" t="s">
        <v>442</v>
      </c>
      <c r="B114" t="s">
        <v>443</v>
      </c>
      <c r="C114" t="s">
        <v>444</v>
      </c>
      <c r="D114" t="s">
        <v>445</v>
      </c>
      <c r="E114" t="s">
        <v>446</v>
      </c>
    </row>
    <row r="117" spans="1:5" ht="15.75" customHeight="1" x14ac:dyDescent="0.25">
      <c r="A117" s="119" t="s">
        <v>447</v>
      </c>
    </row>
    <row r="119" spans="1:5" x14ac:dyDescent="0.25">
      <c r="A119" s="120" t="s">
        <v>448</v>
      </c>
      <c r="B119" s="120" t="s">
        <v>5</v>
      </c>
      <c r="C119" s="120" t="s">
        <v>449</v>
      </c>
      <c r="D119" s="120" t="s">
        <v>450</v>
      </c>
      <c r="E119" s="120" t="s">
        <v>64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439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444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462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467</v>
      </c>
      <c r="E123" t="s">
        <v>468</v>
      </c>
    </row>
    <row r="127" spans="1:5" ht="18.75" customHeight="1" x14ac:dyDescent="0.3">
      <c r="A127" s="125" t="s">
        <v>469</v>
      </c>
    </row>
    <row r="129" spans="1:6" x14ac:dyDescent="0.25">
      <c r="A129" s="120" t="s">
        <v>470</v>
      </c>
      <c r="B129" s="120" t="s">
        <v>471</v>
      </c>
      <c r="C129" s="120" t="s">
        <v>472</v>
      </c>
      <c r="D129" s="120" t="s">
        <v>473</v>
      </c>
      <c r="E129" s="120" t="s">
        <v>474</v>
      </c>
      <c r="F129" s="120" t="s">
        <v>475</v>
      </c>
    </row>
    <row r="130" spans="1:6" x14ac:dyDescent="0.25">
      <c r="A130" t="s">
        <v>476</v>
      </c>
      <c r="B130" t="s">
        <v>477</v>
      </c>
      <c r="C130" t="s">
        <v>478</v>
      </c>
      <c r="D130" t="s">
        <v>479</v>
      </c>
      <c r="E130" t="s">
        <v>480</v>
      </c>
      <c r="F130" t="s">
        <v>481</v>
      </c>
    </row>
    <row r="131" spans="1:6" x14ac:dyDescent="0.25">
      <c r="A131" t="s">
        <v>482</v>
      </c>
      <c r="B131" t="s">
        <v>483</v>
      </c>
      <c r="C131" t="s">
        <v>484</v>
      </c>
      <c r="D131" t="s">
        <v>485</v>
      </c>
      <c r="E131" t="s">
        <v>486</v>
      </c>
      <c r="F131" t="s">
        <v>487</v>
      </c>
    </row>
    <row r="132" spans="1:6" x14ac:dyDescent="0.25">
      <c r="A132" t="s">
        <v>488</v>
      </c>
      <c r="B132" t="s">
        <v>489</v>
      </c>
      <c r="C132" t="s">
        <v>490</v>
      </c>
      <c r="D132" t="s">
        <v>491</v>
      </c>
      <c r="E132" t="s">
        <v>492</v>
      </c>
      <c r="F132" t="s">
        <v>493</v>
      </c>
    </row>
    <row r="133" spans="1:6" x14ac:dyDescent="0.25">
      <c r="A133" t="s">
        <v>494</v>
      </c>
      <c r="B133" t="s">
        <v>495</v>
      </c>
      <c r="C133" t="s">
        <v>496</v>
      </c>
      <c r="D133" t="s">
        <v>497</v>
      </c>
      <c r="E133" t="s">
        <v>498</v>
      </c>
      <c r="F133" t="s">
        <v>499</v>
      </c>
    </row>
    <row r="134" spans="1:6" x14ac:dyDescent="0.25">
      <c r="A134" t="s">
        <v>500</v>
      </c>
      <c r="B134" t="s">
        <v>501</v>
      </c>
      <c r="C134" t="s">
        <v>502</v>
      </c>
      <c r="D134" t="s">
        <v>503</v>
      </c>
      <c r="E134" t="s">
        <v>504</v>
      </c>
      <c r="F134" t="s">
        <v>505</v>
      </c>
    </row>
    <row r="137" spans="1:6" ht="15.75" customHeight="1" x14ac:dyDescent="0.25">
      <c r="A137" s="119" t="s">
        <v>506</v>
      </c>
    </row>
    <row r="139" spans="1:6" x14ac:dyDescent="0.25">
      <c r="A139" s="126" t="s">
        <v>507</v>
      </c>
      <c r="B139" s="138" t="s">
        <v>508</v>
      </c>
      <c r="C139" s="138"/>
      <c r="D139" s="138"/>
      <c r="E139" s="138"/>
      <c r="F139" s="138"/>
    </row>
    <row r="140" spans="1:6" x14ac:dyDescent="0.25">
      <c r="A140" s="126" t="s">
        <v>509</v>
      </c>
      <c r="B140" s="138" t="s">
        <v>510</v>
      </c>
      <c r="C140" s="138"/>
      <c r="D140" s="138"/>
      <c r="E140" s="138"/>
      <c r="F140" s="138"/>
    </row>
    <row r="141" spans="1:6" x14ac:dyDescent="0.25">
      <c r="A141" s="126" t="s">
        <v>511</v>
      </c>
      <c r="B141" s="138" t="s">
        <v>512</v>
      </c>
      <c r="C141" s="138"/>
      <c r="D141" s="138"/>
      <c r="E141" s="138"/>
      <c r="F141" s="138"/>
    </row>
    <row r="142" spans="1:6" x14ac:dyDescent="0.25">
      <c r="A142" s="126" t="s">
        <v>513</v>
      </c>
      <c r="B142" s="138" t="s">
        <v>514</v>
      </c>
      <c r="C142" s="138"/>
      <c r="D142" s="138"/>
      <c r="E142" s="138"/>
      <c r="F142" s="138"/>
    </row>
    <row r="143" spans="1:6" x14ac:dyDescent="0.25">
      <c r="A143" s="126" t="s">
        <v>515</v>
      </c>
      <c r="B143" s="138" t="s">
        <v>516</v>
      </c>
      <c r="C143" s="138"/>
      <c r="D143" s="138"/>
      <c r="E143" s="138"/>
      <c r="F143" s="138"/>
    </row>
    <row r="144" spans="1:6" x14ac:dyDescent="0.25">
      <c r="A144" t="s">
        <v>65</v>
      </c>
      <c r="B144">
        <v>2</v>
      </c>
    </row>
    <row r="145" spans="1:2" x14ac:dyDescent="0.25">
      <c r="A145" t="s">
        <v>65</v>
      </c>
      <c r="B145">
        <v>4</v>
      </c>
    </row>
    <row r="146" spans="1:2" x14ac:dyDescent="0.25">
      <c r="A146" t="s">
        <v>65</v>
      </c>
      <c r="B146">
        <v>6</v>
      </c>
    </row>
    <row r="147" spans="1:2" x14ac:dyDescent="0.25">
      <c r="A147" t="s">
        <v>65</v>
      </c>
      <c r="B147">
        <v>3</v>
      </c>
    </row>
    <row r="148" spans="1:2" x14ac:dyDescent="0.25">
      <c r="A148" t="s">
        <v>65</v>
      </c>
      <c r="B148">
        <v>1</v>
      </c>
    </row>
    <row r="149" spans="1:2" x14ac:dyDescent="0.25">
      <c r="A149" t="s">
        <v>68</v>
      </c>
      <c r="B149">
        <v>0.1</v>
      </c>
    </row>
    <row r="150" spans="1:2" x14ac:dyDescent="0.25">
      <c r="A150" t="s">
        <v>68</v>
      </c>
      <c r="B150">
        <v>0.15</v>
      </c>
    </row>
    <row r="151" spans="1:2" x14ac:dyDescent="0.25">
      <c r="A151" t="s">
        <v>68</v>
      </c>
      <c r="B151">
        <v>0.2</v>
      </c>
    </row>
    <row r="152" spans="1:2" x14ac:dyDescent="0.25">
      <c r="A152" t="s">
        <v>68</v>
      </c>
      <c r="B152">
        <v>0.08</v>
      </c>
    </row>
    <row r="153" spans="1:2" x14ac:dyDescent="0.25">
      <c r="A153" t="s">
        <v>68</v>
      </c>
      <c r="B153">
        <v>0.03</v>
      </c>
    </row>
    <row r="154" spans="1:2" x14ac:dyDescent="0.25">
      <c r="A154" t="s">
        <v>71</v>
      </c>
      <c r="B154">
        <v>0.15</v>
      </c>
    </row>
    <row r="155" spans="1:2" x14ac:dyDescent="0.25">
      <c r="A155" t="s">
        <v>71</v>
      </c>
      <c r="B155">
        <v>0.3</v>
      </c>
    </row>
    <row r="156" spans="1:2" x14ac:dyDescent="0.25">
      <c r="A156" t="s">
        <v>71</v>
      </c>
      <c r="B156">
        <v>0.4</v>
      </c>
    </row>
    <row r="157" spans="1:2" x14ac:dyDescent="0.25">
      <c r="A157" t="s">
        <v>71</v>
      </c>
      <c r="B157">
        <v>0.12</v>
      </c>
    </row>
    <row r="158" spans="1:2" x14ac:dyDescent="0.25">
      <c r="A158" t="s">
        <v>71</v>
      </c>
      <c r="B158">
        <v>0.05</v>
      </c>
    </row>
    <row r="159" spans="1:2" x14ac:dyDescent="0.25">
      <c r="A159" t="s">
        <v>73</v>
      </c>
      <c r="B159">
        <v>0.08</v>
      </c>
    </row>
    <row r="160" spans="1:2" x14ac:dyDescent="0.25">
      <c r="A160" t="s">
        <v>73</v>
      </c>
      <c r="B160">
        <v>0.1</v>
      </c>
    </row>
    <row r="161" spans="1:2" x14ac:dyDescent="0.25">
      <c r="A161" t="s">
        <v>73</v>
      </c>
      <c r="B161">
        <v>0.15</v>
      </c>
    </row>
    <row r="162" spans="1:2" x14ac:dyDescent="0.25">
      <c r="A162" t="s">
        <v>75</v>
      </c>
      <c r="B162">
        <v>0.06</v>
      </c>
    </row>
    <row r="163" spans="1:2" x14ac:dyDescent="0.25">
      <c r="A163" t="s">
        <v>75</v>
      </c>
      <c r="B163">
        <v>0.04</v>
      </c>
    </row>
    <row r="164" spans="1:2" x14ac:dyDescent="0.25">
      <c r="A164" t="s">
        <v>75</v>
      </c>
      <c r="B164">
        <v>0.02</v>
      </c>
    </row>
    <row r="165" spans="1:2" x14ac:dyDescent="0.25">
      <c r="A165" t="s">
        <v>75</v>
      </c>
      <c r="B165">
        <v>0.08</v>
      </c>
    </row>
    <row r="166" spans="1:2" x14ac:dyDescent="0.25">
      <c r="A166" t="s">
        <v>75</v>
      </c>
      <c r="B166">
        <v>0.12</v>
      </c>
    </row>
    <row r="167" spans="1:2" x14ac:dyDescent="0.25">
      <c r="A167" t="s">
        <v>79</v>
      </c>
      <c r="B167">
        <v>0.4</v>
      </c>
    </row>
    <row r="168" spans="1:2" x14ac:dyDescent="0.25">
      <c r="A168" t="s">
        <v>79</v>
      </c>
      <c r="B168">
        <v>0.3</v>
      </c>
    </row>
    <row r="169" spans="1:2" x14ac:dyDescent="0.25">
      <c r="A169" t="s">
        <v>79</v>
      </c>
      <c r="B169">
        <v>0.2</v>
      </c>
    </row>
    <row r="170" spans="1:2" x14ac:dyDescent="0.25">
      <c r="A170" t="s">
        <v>81</v>
      </c>
      <c r="B170">
        <v>1200</v>
      </c>
    </row>
    <row r="171" spans="1:2" x14ac:dyDescent="0.25">
      <c r="A171" t="s">
        <v>81</v>
      </c>
      <c r="B171">
        <v>1400</v>
      </c>
    </row>
    <row r="172" spans="1:2" x14ac:dyDescent="0.25">
      <c r="A172" t="s">
        <v>84</v>
      </c>
      <c r="B172">
        <v>299</v>
      </c>
    </row>
    <row r="173" spans="1:2" x14ac:dyDescent="0.25">
      <c r="A173" t="s">
        <v>99</v>
      </c>
      <c r="B173">
        <v>15000</v>
      </c>
    </row>
    <row r="174" spans="1:2" x14ac:dyDescent="0.25">
      <c r="A174" t="s">
        <v>99</v>
      </c>
      <c r="B174">
        <v>12000</v>
      </c>
    </row>
    <row r="175" spans="1:2" x14ac:dyDescent="0.25">
      <c r="A175" t="s">
        <v>99</v>
      </c>
      <c r="B175">
        <v>10000</v>
      </c>
    </row>
    <row r="176" spans="1:2" x14ac:dyDescent="0.25">
      <c r="A176" t="s">
        <v>517</v>
      </c>
      <c r="B176">
        <v>10</v>
      </c>
    </row>
    <row r="177" spans="1:2" x14ac:dyDescent="0.25">
      <c r="A177" t="s">
        <v>191</v>
      </c>
      <c r="B177">
        <v>187974</v>
      </c>
    </row>
    <row r="178" spans="1:2" x14ac:dyDescent="0.25">
      <c r="A178" t="s">
        <v>194</v>
      </c>
      <c r="B178">
        <v>525000</v>
      </c>
    </row>
    <row r="179" spans="1:2" x14ac:dyDescent="0.25">
      <c r="A179" t="s">
        <v>198</v>
      </c>
      <c r="B179">
        <v>1375000</v>
      </c>
    </row>
    <row r="180" spans="1:2" x14ac:dyDescent="0.25">
      <c r="A180" t="s">
        <v>202</v>
      </c>
      <c r="B180">
        <v>1350000</v>
      </c>
    </row>
    <row r="181" spans="1:2" x14ac:dyDescent="0.25">
      <c r="A181" t="s">
        <v>206</v>
      </c>
      <c r="B181">
        <v>11</v>
      </c>
    </row>
    <row r="182" spans="1:2" x14ac:dyDescent="0.25">
      <c r="A182" t="s">
        <v>206</v>
      </c>
      <c r="B182">
        <v>900000</v>
      </c>
    </row>
    <row r="183" spans="1:2" x14ac:dyDescent="0.25">
      <c r="A183" t="s">
        <v>212</v>
      </c>
      <c r="B183">
        <v>4337974</v>
      </c>
    </row>
    <row r="184" spans="1:2" x14ac:dyDescent="0.25">
      <c r="A184" t="s">
        <v>518</v>
      </c>
      <c r="B184">
        <v>0.1</v>
      </c>
    </row>
    <row r="185" spans="1:2" x14ac:dyDescent="0.25">
      <c r="A185" t="s">
        <v>519</v>
      </c>
      <c r="B185">
        <v>6553</v>
      </c>
    </row>
    <row r="186" spans="1:2" x14ac:dyDescent="0.25">
      <c r="A186" t="s">
        <v>520</v>
      </c>
      <c r="B186">
        <v>0</v>
      </c>
    </row>
    <row r="187" spans="1:2" x14ac:dyDescent="0.25">
      <c r="A187" t="s">
        <v>521</v>
      </c>
      <c r="B187">
        <v>22000</v>
      </c>
    </row>
    <row r="188" spans="1:2" x14ac:dyDescent="0.25">
      <c r="A188" t="s">
        <v>521</v>
      </c>
      <c r="B188">
        <v>35000</v>
      </c>
    </row>
    <row r="189" spans="1:2" x14ac:dyDescent="0.25">
      <c r="A189" t="s">
        <v>521</v>
      </c>
      <c r="B189">
        <v>18000</v>
      </c>
    </row>
    <row r="190" spans="1:2" x14ac:dyDescent="0.25">
      <c r="A190" t="s">
        <v>521</v>
      </c>
      <c r="B190">
        <v>8000</v>
      </c>
    </row>
    <row r="191" spans="1:2" x14ac:dyDescent="0.25">
      <c r="A191" t="s">
        <v>521</v>
      </c>
      <c r="B191">
        <v>2400</v>
      </c>
    </row>
    <row r="192" spans="1:2" x14ac:dyDescent="0.25">
      <c r="A192" t="s">
        <v>521</v>
      </c>
      <c r="B192">
        <v>1500</v>
      </c>
    </row>
    <row r="193" spans="1:2" x14ac:dyDescent="0.25">
      <c r="A193" t="s">
        <v>313</v>
      </c>
      <c r="B193">
        <v>2000</v>
      </c>
    </row>
    <row r="194" spans="1:2" x14ac:dyDescent="0.25">
      <c r="A194" t="s">
        <v>313</v>
      </c>
      <c r="B194">
        <v>2500</v>
      </c>
    </row>
    <row r="195" spans="1:2" x14ac:dyDescent="0.25">
      <c r="A195" t="s">
        <v>313</v>
      </c>
      <c r="B195">
        <v>1200</v>
      </c>
    </row>
    <row r="196" spans="1:2" x14ac:dyDescent="0.25">
      <c r="A196" t="s">
        <v>313</v>
      </c>
      <c r="B196">
        <v>3900</v>
      </c>
    </row>
    <row r="197" spans="1:2" x14ac:dyDescent="0.25">
      <c r="A197" t="s">
        <v>313</v>
      </c>
      <c r="B197">
        <v>3500</v>
      </c>
    </row>
    <row r="198" spans="1:2" x14ac:dyDescent="0.25">
      <c r="A198" t="s">
        <v>522</v>
      </c>
      <c r="B198">
        <v>3000</v>
      </c>
    </row>
    <row r="199" spans="1:2" x14ac:dyDescent="0.25">
      <c r="A199" t="s">
        <v>522</v>
      </c>
      <c r="B199">
        <v>5000</v>
      </c>
    </row>
    <row r="200" spans="1:2" x14ac:dyDescent="0.25">
      <c r="A200" t="s">
        <v>522</v>
      </c>
      <c r="B200">
        <v>2500</v>
      </c>
    </row>
    <row r="201" spans="1:2" x14ac:dyDescent="0.25">
      <c r="A201" t="s">
        <v>522</v>
      </c>
      <c r="B201">
        <v>2000</v>
      </c>
    </row>
    <row r="202" spans="1:2" x14ac:dyDescent="0.25">
      <c r="A202" t="s">
        <v>523</v>
      </c>
      <c r="B202">
        <v>5000</v>
      </c>
    </row>
    <row r="203" spans="1:2" x14ac:dyDescent="0.25">
      <c r="A203" t="s">
        <v>524</v>
      </c>
      <c r="B203">
        <v>1200</v>
      </c>
    </row>
    <row r="204" spans="1:2" x14ac:dyDescent="0.25">
      <c r="A204" t="s">
        <v>524</v>
      </c>
      <c r="B204">
        <v>7200</v>
      </c>
    </row>
    <row r="205" spans="1:2" x14ac:dyDescent="0.25">
      <c r="A205" t="s">
        <v>524</v>
      </c>
      <c r="B205">
        <v>2500</v>
      </c>
    </row>
    <row r="206" spans="1:2" x14ac:dyDescent="0.25">
      <c r="A206" t="s">
        <v>525</v>
      </c>
      <c r="B206">
        <v>21000</v>
      </c>
    </row>
    <row r="207" spans="1:2" x14ac:dyDescent="0.25">
      <c r="A207" t="s">
        <v>525</v>
      </c>
      <c r="B207">
        <v>2400</v>
      </c>
    </row>
    <row r="208" spans="1:2" x14ac:dyDescent="0.25">
      <c r="A208" t="s">
        <v>525</v>
      </c>
      <c r="B208">
        <v>3300</v>
      </c>
    </row>
    <row r="209" spans="1:2" x14ac:dyDescent="0.25">
      <c r="A209" t="s">
        <v>526</v>
      </c>
      <c r="B209">
        <v>9000</v>
      </c>
    </row>
    <row r="210" spans="1:2" x14ac:dyDescent="0.25">
      <c r="A210" t="s">
        <v>526</v>
      </c>
      <c r="B210">
        <v>15000</v>
      </c>
    </row>
    <row r="211" spans="1:2" x14ac:dyDescent="0.25">
      <c r="A211" t="s">
        <v>521</v>
      </c>
      <c r="B211">
        <v>86900</v>
      </c>
    </row>
    <row r="212" spans="1:2" x14ac:dyDescent="0.25">
      <c r="A212" t="s">
        <v>313</v>
      </c>
      <c r="B212">
        <v>13850</v>
      </c>
    </row>
    <row r="213" spans="1:2" x14ac:dyDescent="0.25">
      <c r="A213" t="s">
        <v>522</v>
      </c>
      <c r="B213">
        <v>12500</v>
      </c>
    </row>
    <row r="214" spans="1:2" x14ac:dyDescent="0.25">
      <c r="A214" t="s">
        <v>524</v>
      </c>
      <c r="B214">
        <v>11524</v>
      </c>
    </row>
    <row r="215" spans="1:2" x14ac:dyDescent="0.25">
      <c r="A215" t="s">
        <v>525</v>
      </c>
      <c r="B215">
        <v>26700</v>
      </c>
    </row>
    <row r="216" spans="1:2" x14ac:dyDescent="0.25">
      <c r="A216" t="s">
        <v>526</v>
      </c>
      <c r="B216">
        <v>24000</v>
      </c>
    </row>
    <row r="217" spans="1:2" x14ac:dyDescent="0.25">
      <c r="A217" t="s">
        <v>344</v>
      </c>
      <c r="B217">
        <v>3500</v>
      </c>
    </row>
    <row r="218" spans="1:2" x14ac:dyDescent="0.25">
      <c r="A218" t="s">
        <v>344</v>
      </c>
      <c r="B218">
        <v>50000</v>
      </c>
    </row>
    <row r="219" spans="1:2" x14ac:dyDescent="0.25">
      <c r="A219" t="s">
        <v>341</v>
      </c>
      <c r="B219">
        <v>1200</v>
      </c>
    </row>
    <row r="220" spans="1:2" x14ac:dyDescent="0.25">
      <c r="A220" t="s">
        <v>345</v>
      </c>
      <c r="B220">
        <v>3000</v>
      </c>
    </row>
    <row r="221" spans="1:2" x14ac:dyDescent="0.25">
      <c r="A221" t="s">
        <v>527</v>
      </c>
      <c r="B221">
        <v>4</v>
      </c>
    </row>
    <row r="222" spans="1:2" x14ac:dyDescent="0.25">
      <c r="A222" t="s">
        <v>528</v>
      </c>
      <c r="B222">
        <v>0.3</v>
      </c>
    </row>
    <row r="223" spans="1:2" x14ac:dyDescent="0.25">
      <c r="A223" t="s">
        <v>529</v>
      </c>
      <c r="B223">
        <v>75000</v>
      </c>
    </row>
    <row r="224" spans="1:2" x14ac:dyDescent="0.25">
      <c r="A224" t="s">
        <v>530</v>
      </c>
      <c r="B224">
        <v>2000</v>
      </c>
    </row>
    <row r="225" spans="1:2" x14ac:dyDescent="0.25">
      <c r="A225" t="s">
        <v>531</v>
      </c>
      <c r="B225">
        <v>8000</v>
      </c>
    </row>
  </sheetData>
  <mergeCells count="24">
    <mergeCell ref="A19:E19"/>
    <mergeCell ref="A63:E63"/>
    <mergeCell ref="A102:E102"/>
    <mergeCell ref="B143:F143"/>
    <mergeCell ref="A100:E100"/>
    <mergeCell ref="A96:E96"/>
    <mergeCell ref="B139:F139"/>
    <mergeCell ref="B142:F142"/>
    <mergeCell ref="A30:E30"/>
    <mergeCell ref="B141:F141"/>
    <mergeCell ref="A98:E98"/>
    <mergeCell ref="A11:E11"/>
    <mergeCell ref="A1:E1"/>
    <mergeCell ref="A103:E103"/>
    <mergeCell ref="B140:F140"/>
    <mergeCell ref="A6:E6"/>
    <mergeCell ref="A41:E41"/>
    <mergeCell ref="A99:E99"/>
    <mergeCell ref="A84:E84"/>
    <mergeCell ref="A74:E74"/>
    <mergeCell ref="A3:E3"/>
    <mergeCell ref="A101:E101"/>
    <mergeCell ref="A2:E2"/>
    <mergeCell ref="A97:E97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5"/>
  <sheetViews>
    <sheetView topLeftCell="A71" workbookViewId="0">
      <selection activeCell="A12" sqref="A12"/>
    </sheetView>
  </sheetViews>
  <sheetFormatPr defaultRowHeight="15" x14ac:dyDescent="0.25"/>
  <cols>
    <col min="1" max="1" width="88.5703125" bestFit="1" customWidth="1"/>
    <col min="2" max="2" width="15" bestFit="1" customWidth="1"/>
    <col min="3" max="3" width="27.140625" customWidth="1"/>
    <col min="4" max="5" width="40" customWidth="1"/>
    <col min="6" max="6" width="18" customWidth="1"/>
    <col min="7" max="7" width="14" customWidth="1"/>
  </cols>
  <sheetData>
    <row r="1" spans="1:5" ht="21" customHeight="1" x14ac:dyDescent="0.35">
      <c r="A1" s="113" t="s">
        <v>532</v>
      </c>
    </row>
    <row r="2" spans="1:5" x14ac:dyDescent="0.25">
      <c r="A2" t="s">
        <v>533</v>
      </c>
    </row>
    <row r="3" spans="1:5" x14ac:dyDescent="0.25">
      <c r="A3" t="s">
        <v>534</v>
      </c>
    </row>
    <row r="5" spans="1:5" ht="18.75" customHeight="1" x14ac:dyDescent="0.3">
      <c r="A5" s="114" t="s">
        <v>535</v>
      </c>
    </row>
    <row r="6" spans="1:5" x14ac:dyDescent="0.25">
      <c r="A6" s="115" t="s">
        <v>536</v>
      </c>
      <c r="B6" s="115" t="s">
        <v>218</v>
      </c>
      <c r="C6" s="115" t="s">
        <v>63</v>
      </c>
      <c r="D6" s="115" t="s">
        <v>64</v>
      </c>
      <c r="E6" s="115" t="s">
        <v>537</v>
      </c>
    </row>
    <row r="7" spans="1:5" x14ac:dyDescent="0.25">
      <c r="A7" t="s">
        <v>538</v>
      </c>
      <c r="B7" s="116">
        <f>'Scenario Analysis'!C10</f>
        <v>0.05</v>
      </c>
      <c r="C7" t="s">
        <v>69</v>
      </c>
      <c r="D7" t="s">
        <v>539</v>
      </c>
      <c r="E7" t="s">
        <v>540</v>
      </c>
    </row>
    <row r="8" spans="1:5" x14ac:dyDescent="0.25">
      <c r="A8" t="s">
        <v>541</v>
      </c>
      <c r="B8" s="116">
        <f>'Scenario Analysis'!C11</f>
        <v>0.04</v>
      </c>
      <c r="C8" t="s">
        <v>69</v>
      </c>
      <c r="D8" t="s">
        <v>542</v>
      </c>
      <c r="E8" t="s">
        <v>543</v>
      </c>
    </row>
    <row r="9" spans="1:5" x14ac:dyDescent="0.25">
      <c r="A9" t="s">
        <v>544</v>
      </c>
      <c r="B9" s="116">
        <f>Assumptions!B153</f>
        <v>0.03</v>
      </c>
      <c r="C9" t="s">
        <v>69</v>
      </c>
      <c r="D9" t="s">
        <v>545</v>
      </c>
      <c r="E9" t="s">
        <v>546</v>
      </c>
    </row>
    <row r="10" spans="1:5" x14ac:dyDescent="0.25">
      <c r="A10" t="s">
        <v>518</v>
      </c>
      <c r="B10" s="116">
        <f>Assumptions!B184</f>
        <v>0.1</v>
      </c>
      <c r="C10" t="s">
        <v>69</v>
      </c>
      <c r="D10" t="s">
        <v>547</v>
      </c>
      <c r="E10" t="s">
        <v>548</v>
      </c>
    </row>
    <row r="13" spans="1:5" ht="18.75" customHeight="1" x14ac:dyDescent="0.3">
      <c r="A13" s="114" t="s">
        <v>549</v>
      </c>
    </row>
    <row r="14" spans="1:5" x14ac:dyDescent="0.25">
      <c r="A14" s="115" t="s">
        <v>88</v>
      </c>
      <c r="B14" s="115" t="s">
        <v>218</v>
      </c>
      <c r="C14" s="115" t="s">
        <v>550</v>
      </c>
      <c r="D14" s="115" t="s">
        <v>64</v>
      </c>
    </row>
    <row r="15" spans="1:5" x14ac:dyDescent="0.25">
      <c r="A15" t="s">
        <v>551</v>
      </c>
      <c r="B15">
        <f>1-B7</f>
        <v>0.95</v>
      </c>
      <c r="C15" t="e">
        <f>1 - Churn Rate</f>
        <v>#NAME?</v>
      </c>
      <c r="D15" t="s">
        <v>552</v>
      </c>
    </row>
    <row r="16" spans="1:5" x14ac:dyDescent="0.25">
      <c r="A16" t="s">
        <v>553</v>
      </c>
      <c r="B16">
        <f>B15^12</f>
        <v>0.54036008766263688</v>
      </c>
      <c r="C16" t="e">
        <f>Monthly^12</f>
        <v>#NAME?</v>
      </c>
      <c r="D16" t="s">
        <v>554</v>
      </c>
    </row>
    <row r="17" spans="1:7" x14ac:dyDescent="0.25">
      <c r="A17" t="s">
        <v>555</v>
      </c>
      <c r="B17">
        <f>IFERROR(1/B7, "N/A")</f>
        <v>20</v>
      </c>
      <c r="C17">
        <f>IFERROR(1 / Churn Rate, 0)</f>
        <v>0</v>
      </c>
      <c r="D17" t="s">
        <v>556</v>
      </c>
    </row>
    <row r="18" spans="1:7" x14ac:dyDescent="0.25">
      <c r="A18" t="s">
        <v>519</v>
      </c>
      <c r="B18" s="116">
        <f>Assumptions!B185</f>
        <v>6553</v>
      </c>
      <c r="C18" t="s">
        <v>557</v>
      </c>
      <c r="D18" t="s">
        <v>558</v>
      </c>
    </row>
    <row r="19" spans="1:7" x14ac:dyDescent="0.25">
      <c r="A19" t="s">
        <v>559</v>
      </c>
      <c r="B19">
        <f>B17*B18</f>
        <v>131060</v>
      </c>
      <c r="C19" t="e">
        <f>Lifetime x Revenue</f>
        <v>#NAME?</v>
      </c>
      <c r="D19" t="s">
        <v>560</v>
      </c>
    </row>
    <row r="20" spans="1:7" x14ac:dyDescent="0.25">
      <c r="A20" t="s">
        <v>561</v>
      </c>
      <c r="B20" s="116">
        <v>450</v>
      </c>
      <c r="C20" t="s">
        <v>562</v>
      </c>
      <c r="D20" t="s">
        <v>563</v>
      </c>
    </row>
    <row r="21" spans="1:7" x14ac:dyDescent="0.25">
      <c r="A21" t="s">
        <v>564</v>
      </c>
      <c r="B21">
        <f>IFERROR(B19/B20, 0)</f>
        <v>291.24444444444447</v>
      </c>
      <c r="C21">
        <f>IFERROR(LTV / CAC, 0)</f>
        <v>0</v>
      </c>
      <c r="D21" t="s">
        <v>565</v>
      </c>
    </row>
    <row r="22" spans="1:7" x14ac:dyDescent="0.25">
      <c r="A22" t="s">
        <v>566</v>
      </c>
      <c r="B22">
        <f>IFERROR(B20/B18, 0)</f>
        <v>6.8670837784220964E-2</v>
      </c>
      <c r="C22">
        <f>IFERROR(CAC / Monthly Revenue, 0)</f>
        <v>0</v>
      </c>
      <c r="D22" t="s">
        <v>567</v>
      </c>
    </row>
    <row r="25" spans="1:7" ht="18.75" customHeight="1" x14ac:dyDescent="0.3">
      <c r="A25" s="114" t="s">
        <v>568</v>
      </c>
    </row>
    <row r="26" spans="1:7" x14ac:dyDescent="0.25">
      <c r="A26" t="s">
        <v>569</v>
      </c>
    </row>
    <row r="28" spans="1:7" x14ac:dyDescent="0.25">
      <c r="A28" s="115" t="s">
        <v>2</v>
      </c>
      <c r="B28" s="115" t="s">
        <v>50</v>
      </c>
      <c r="C28" s="115" t="s">
        <v>570</v>
      </c>
      <c r="D28" s="115" t="s">
        <v>571</v>
      </c>
      <c r="E28" s="115" t="s">
        <v>572</v>
      </c>
      <c r="F28" s="115" t="s">
        <v>573</v>
      </c>
      <c r="G28" s="115" t="s">
        <v>574</v>
      </c>
    </row>
    <row r="29" spans="1:7" x14ac:dyDescent="0.25">
      <c r="A29" t="s">
        <v>13</v>
      </c>
      <c r="B29">
        <v>4</v>
      </c>
      <c r="C29">
        <v>0</v>
      </c>
      <c r="D29">
        <v>0</v>
      </c>
      <c r="E29">
        <f>B29</f>
        <v>4</v>
      </c>
      <c r="F29">
        <v>4</v>
      </c>
      <c r="G29">
        <f t="shared" ref="G29:G52" si="0">F29-E29</f>
        <v>0</v>
      </c>
    </row>
    <row r="30" spans="1:7" x14ac:dyDescent="0.25">
      <c r="A30" t="s">
        <v>14</v>
      </c>
      <c r="B30">
        <f t="shared" ref="B30:B40" si="1">MAX(1,ROUND(E29*0.15,0))</f>
        <v>1</v>
      </c>
      <c r="C30">
        <f t="shared" ref="C30:C40" si="2">ROUND(E29*$B$7,0)</f>
        <v>0</v>
      </c>
      <c r="D30">
        <f t="shared" ref="D30:D52" si="3">E29-C30</f>
        <v>4</v>
      </c>
      <c r="E30">
        <f t="shared" ref="E30:E52" si="4">B30+D30</f>
        <v>5</v>
      </c>
      <c r="F30">
        <f t="shared" ref="F30:F40" si="5">ROUND(F29*1.15,0)</f>
        <v>5</v>
      </c>
      <c r="G30">
        <f t="shared" si="0"/>
        <v>0</v>
      </c>
    </row>
    <row r="31" spans="1:7" x14ac:dyDescent="0.25">
      <c r="A31" t="s">
        <v>15</v>
      </c>
      <c r="B31">
        <f t="shared" si="1"/>
        <v>1</v>
      </c>
      <c r="C31">
        <f t="shared" si="2"/>
        <v>0</v>
      </c>
      <c r="D31">
        <f t="shared" si="3"/>
        <v>5</v>
      </c>
      <c r="E31">
        <f t="shared" si="4"/>
        <v>6</v>
      </c>
      <c r="F31">
        <f t="shared" si="5"/>
        <v>6</v>
      </c>
      <c r="G31">
        <f t="shared" si="0"/>
        <v>0</v>
      </c>
    </row>
    <row r="32" spans="1:7" x14ac:dyDescent="0.25">
      <c r="A32" t="s">
        <v>16</v>
      </c>
      <c r="B32">
        <f t="shared" si="1"/>
        <v>1</v>
      </c>
      <c r="C32">
        <f t="shared" si="2"/>
        <v>0</v>
      </c>
      <c r="D32">
        <f t="shared" si="3"/>
        <v>6</v>
      </c>
      <c r="E32">
        <f t="shared" si="4"/>
        <v>7</v>
      </c>
      <c r="F32">
        <f t="shared" si="5"/>
        <v>7</v>
      </c>
      <c r="G32">
        <f t="shared" si="0"/>
        <v>0</v>
      </c>
    </row>
    <row r="33" spans="1:7" x14ac:dyDescent="0.25">
      <c r="A33" t="s">
        <v>17</v>
      </c>
      <c r="B33">
        <f t="shared" si="1"/>
        <v>1</v>
      </c>
      <c r="C33">
        <f t="shared" si="2"/>
        <v>0</v>
      </c>
      <c r="D33">
        <f t="shared" si="3"/>
        <v>7</v>
      </c>
      <c r="E33">
        <f t="shared" si="4"/>
        <v>8</v>
      </c>
      <c r="F33">
        <f t="shared" si="5"/>
        <v>8</v>
      </c>
      <c r="G33">
        <f t="shared" si="0"/>
        <v>0</v>
      </c>
    </row>
    <row r="34" spans="1:7" x14ac:dyDescent="0.25">
      <c r="A34" t="s">
        <v>18</v>
      </c>
      <c r="B34">
        <f t="shared" si="1"/>
        <v>1</v>
      </c>
      <c r="C34">
        <f t="shared" si="2"/>
        <v>0</v>
      </c>
      <c r="D34">
        <f t="shared" si="3"/>
        <v>8</v>
      </c>
      <c r="E34">
        <f t="shared" si="4"/>
        <v>9</v>
      </c>
      <c r="F34">
        <f t="shared" si="5"/>
        <v>9</v>
      </c>
      <c r="G34">
        <f t="shared" si="0"/>
        <v>0</v>
      </c>
    </row>
    <row r="35" spans="1:7" x14ac:dyDescent="0.25">
      <c r="A35" t="s">
        <v>19</v>
      </c>
      <c r="B35">
        <f t="shared" si="1"/>
        <v>1</v>
      </c>
      <c r="C35">
        <f t="shared" si="2"/>
        <v>0</v>
      </c>
      <c r="D35">
        <f t="shared" si="3"/>
        <v>9</v>
      </c>
      <c r="E35">
        <f t="shared" si="4"/>
        <v>10</v>
      </c>
      <c r="F35">
        <f t="shared" si="5"/>
        <v>10</v>
      </c>
      <c r="G35">
        <f t="shared" si="0"/>
        <v>0</v>
      </c>
    </row>
    <row r="36" spans="1:7" x14ac:dyDescent="0.25">
      <c r="A36" t="s">
        <v>20</v>
      </c>
      <c r="B36">
        <f t="shared" si="1"/>
        <v>2</v>
      </c>
      <c r="C36">
        <f t="shared" si="2"/>
        <v>1</v>
      </c>
      <c r="D36">
        <f t="shared" si="3"/>
        <v>9</v>
      </c>
      <c r="E36">
        <f t="shared" si="4"/>
        <v>11</v>
      </c>
      <c r="F36">
        <f t="shared" si="5"/>
        <v>12</v>
      </c>
      <c r="G36">
        <f t="shared" si="0"/>
        <v>1</v>
      </c>
    </row>
    <row r="37" spans="1:7" x14ac:dyDescent="0.25">
      <c r="A37" t="s">
        <v>21</v>
      </c>
      <c r="B37">
        <f t="shared" si="1"/>
        <v>2</v>
      </c>
      <c r="C37">
        <f t="shared" si="2"/>
        <v>1</v>
      </c>
      <c r="D37">
        <f t="shared" si="3"/>
        <v>10</v>
      </c>
      <c r="E37">
        <f t="shared" si="4"/>
        <v>12</v>
      </c>
      <c r="F37">
        <f t="shared" si="5"/>
        <v>14</v>
      </c>
      <c r="G37">
        <f t="shared" si="0"/>
        <v>2</v>
      </c>
    </row>
    <row r="38" spans="1:7" x14ac:dyDescent="0.25">
      <c r="A38" t="s">
        <v>22</v>
      </c>
      <c r="B38">
        <f t="shared" si="1"/>
        <v>2</v>
      </c>
      <c r="C38">
        <f t="shared" si="2"/>
        <v>1</v>
      </c>
      <c r="D38">
        <f t="shared" si="3"/>
        <v>11</v>
      </c>
      <c r="E38">
        <f t="shared" si="4"/>
        <v>13</v>
      </c>
      <c r="F38">
        <f t="shared" si="5"/>
        <v>16</v>
      </c>
      <c r="G38">
        <f t="shared" si="0"/>
        <v>3</v>
      </c>
    </row>
    <row r="39" spans="1:7" x14ac:dyDescent="0.25">
      <c r="A39" t="s">
        <v>23</v>
      </c>
      <c r="B39">
        <f t="shared" si="1"/>
        <v>2</v>
      </c>
      <c r="C39">
        <f t="shared" si="2"/>
        <v>1</v>
      </c>
      <c r="D39">
        <f t="shared" si="3"/>
        <v>12</v>
      </c>
      <c r="E39">
        <f t="shared" si="4"/>
        <v>14</v>
      </c>
      <c r="F39">
        <f t="shared" si="5"/>
        <v>18</v>
      </c>
      <c r="G39">
        <f t="shared" si="0"/>
        <v>4</v>
      </c>
    </row>
    <row r="40" spans="1:7" x14ac:dyDescent="0.25">
      <c r="A40" t="s">
        <v>24</v>
      </c>
      <c r="B40">
        <f t="shared" si="1"/>
        <v>2</v>
      </c>
      <c r="C40">
        <f t="shared" si="2"/>
        <v>1</v>
      </c>
      <c r="D40">
        <f t="shared" si="3"/>
        <v>13</v>
      </c>
      <c r="E40">
        <f t="shared" si="4"/>
        <v>15</v>
      </c>
      <c r="F40">
        <f t="shared" si="5"/>
        <v>21</v>
      </c>
      <c r="G40">
        <f t="shared" si="0"/>
        <v>6</v>
      </c>
    </row>
    <row r="41" spans="1:7" x14ac:dyDescent="0.25">
      <c r="A41" t="s">
        <v>25</v>
      </c>
      <c r="B41">
        <f t="shared" ref="B41:B52" si="6">MAX(1,ROUND(E40*0.3,0))</f>
        <v>5</v>
      </c>
      <c r="C41">
        <f t="shared" ref="C41:C52" si="7">ROUND(E40*$B$8,0)</f>
        <v>1</v>
      </c>
      <c r="D41">
        <f t="shared" si="3"/>
        <v>14</v>
      </c>
      <c r="E41">
        <f t="shared" si="4"/>
        <v>19</v>
      </c>
      <c r="F41">
        <f t="shared" ref="F41:F52" si="8">ROUND(F40*1.3,0)</f>
        <v>27</v>
      </c>
      <c r="G41">
        <f t="shared" si="0"/>
        <v>8</v>
      </c>
    </row>
    <row r="42" spans="1:7" x14ac:dyDescent="0.25">
      <c r="A42" t="s">
        <v>26</v>
      </c>
      <c r="B42">
        <f t="shared" si="6"/>
        <v>6</v>
      </c>
      <c r="C42">
        <f t="shared" si="7"/>
        <v>1</v>
      </c>
      <c r="D42">
        <f t="shared" si="3"/>
        <v>18</v>
      </c>
      <c r="E42">
        <f t="shared" si="4"/>
        <v>24</v>
      </c>
      <c r="F42">
        <f t="shared" si="8"/>
        <v>35</v>
      </c>
      <c r="G42">
        <f t="shared" si="0"/>
        <v>11</v>
      </c>
    </row>
    <row r="43" spans="1:7" x14ac:dyDescent="0.25">
      <c r="A43" t="s">
        <v>27</v>
      </c>
      <c r="B43">
        <f t="shared" si="6"/>
        <v>7</v>
      </c>
      <c r="C43">
        <f t="shared" si="7"/>
        <v>1</v>
      </c>
      <c r="D43">
        <f t="shared" si="3"/>
        <v>23</v>
      </c>
      <c r="E43">
        <f t="shared" si="4"/>
        <v>30</v>
      </c>
      <c r="F43">
        <f t="shared" si="8"/>
        <v>46</v>
      </c>
      <c r="G43">
        <f t="shared" si="0"/>
        <v>16</v>
      </c>
    </row>
    <row r="44" spans="1:7" x14ac:dyDescent="0.25">
      <c r="A44" t="s">
        <v>28</v>
      </c>
      <c r="B44">
        <f t="shared" si="6"/>
        <v>9</v>
      </c>
      <c r="C44">
        <f t="shared" si="7"/>
        <v>1</v>
      </c>
      <c r="D44">
        <f t="shared" si="3"/>
        <v>29</v>
      </c>
      <c r="E44">
        <f t="shared" si="4"/>
        <v>38</v>
      </c>
      <c r="F44">
        <f t="shared" si="8"/>
        <v>60</v>
      </c>
      <c r="G44">
        <f t="shared" si="0"/>
        <v>22</v>
      </c>
    </row>
    <row r="45" spans="1:7" x14ac:dyDescent="0.25">
      <c r="A45" t="s">
        <v>29</v>
      </c>
      <c r="B45">
        <f t="shared" si="6"/>
        <v>11</v>
      </c>
      <c r="C45">
        <f t="shared" si="7"/>
        <v>2</v>
      </c>
      <c r="D45">
        <f t="shared" si="3"/>
        <v>36</v>
      </c>
      <c r="E45">
        <f t="shared" si="4"/>
        <v>47</v>
      </c>
      <c r="F45">
        <f t="shared" si="8"/>
        <v>78</v>
      </c>
      <c r="G45">
        <f t="shared" si="0"/>
        <v>31</v>
      </c>
    </row>
    <row r="46" spans="1:7" x14ac:dyDescent="0.25">
      <c r="A46" t="s">
        <v>30</v>
      </c>
      <c r="B46">
        <f t="shared" si="6"/>
        <v>14</v>
      </c>
      <c r="C46">
        <f t="shared" si="7"/>
        <v>2</v>
      </c>
      <c r="D46">
        <f t="shared" si="3"/>
        <v>45</v>
      </c>
      <c r="E46">
        <f t="shared" si="4"/>
        <v>59</v>
      </c>
      <c r="F46">
        <f t="shared" si="8"/>
        <v>101</v>
      </c>
      <c r="G46">
        <f t="shared" si="0"/>
        <v>42</v>
      </c>
    </row>
    <row r="47" spans="1:7" x14ac:dyDescent="0.25">
      <c r="A47" t="s">
        <v>31</v>
      </c>
      <c r="B47">
        <f t="shared" si="6"/>
        <v>18</v>
      </c>
      <c r="C47">
        <f t="shared" si="7"/>
        <v>2</v>
      </c>
      <c r="D47">
        <f t="shared" si="3"/>
        <v>57</v>
      </c>
      <c r="E47">
        <f t="shared" si="4"/>
        <v>75</v>
      </c>
      <c r="F47">
        <f t="shared" si="8"/>
        <v>131</v>
      </c>
      <c r="G47">
        <f t="shared" si="0"/>
        <v>56</v>
      </c>
    </row>
    <row r="48" spans="1:7" x14ac:dyDescent="0.25">
      <c r="A48" t="s">
        <v>32</v>
      </c>
      <c r="B48">
        <f t="shared" si="6"/>
        <v>23</v>
      </c>
      <c r="C48">
        <f t="shared" si="7"/>
        <v>3</v>
      </c>
      <c r="D48">
        <f t="shared" si="3"/>
        <v>72</v>
      </c>
      <c r="E48">
        <f t="shared" si="4"/>
        <v>95</v>
      </c>
      <c r="F48">
        <f t="shared" si="8"/>
        <v>170</v>
      </c>
      <c r="G48">
        <f t="shared" si="0"/>
        <v>75</v>
      </c>
    </row>
    <row r="49" spans="1:7" x14ac:dyDescent="0.25">
      <c r="A49" t="s">
        <v>33</v>
      </c>
      <c r="B49">
        <f t="shared" si="6"/>
        <v>29</v>
      </c>
      <c r="C49">
        <f t="shared" si="7"/>
        <v>4</v>
      </c>
      <c r="D49">
        <f t="shared" si="3"/>
        <v>91</v>
      </c>
      <c r="E49">
        <f t="shared" si="4"/>
        <v>120</v>
      </c>
      <c r="F49">
        <f t="shared" si="8"/>
        <v>221</v>
      </c>
      <c r="G49">
        <f t="shared" si="0"/>
        <v>101</v>
      </c>
    </row>
    <row r="50" spans="1:7" x14ac:dyDescent="0.25">
      <c r="A50" t="s">
        <v>34</v>
      </c>
      <c r="B50">
        <f t="shared" si="6"/>
        <v>36</v>
      </c>
      <c r="C50">
        <f t="shared" si="7"/>
        <v>5</v>
      </c>
      <c r="D50">
        <f t="shared" si="3"/>
        <v>115</v>
      </c>
      <c r="E50">
        <f t="shared" si="4"/>
        <v>151</v>
      </c>
      <c r="F50">
        <f t="shared" si="8"/>
        <v>287</v>
      </c>
      <c r="G50">
        <f t="shared" si="0"/>
        <v>136</v>
      </c>
    </row>
    <row r="51" spans="1:7" x14ac:dyDescent="0.25">
      <c r="A51" t="s">
        <v>35</v>
      </c>
      <c r="B51">
        <f t="shared" si="6"/>
        <v>45</v>
      </c>
      <c r="C51">
        <f t="shared" si="7"/>
        <v>6</v>
      </c>
      <c r="D51">
        <f t="shared" si="3"/>
        <v>145</v>
      </c>
      <c r="E51">
        <f t="shared" si="4"/>
        <v>190</v>
      </c>
      <c r="F51">
        <f t="shared" si="8"/>
        <v>373</v>
      </c>
      <c r="G51">
        <f t="shared" si="0"/>
        <v>183</v>
      </c>
    </row>
    <row r="52" spans="1:7" x14ac:dyDescent="0.25">
      <c r="A52" t="s">
        <v>36</v>
      </c>
      <c r="B52">
        <f t="shared" si="6"/>
        <v>57</v>
      </c>
      <c r="C52">
        <f t="shared" si="7"/>
        <v>8</v>
      </c>
      <c r="D52">
        <f t="shared" si="3"/>
        <v>182</v>
      </c>
      <c r="E52">
        <f t="shared" si="4"/>
        <v>239</v>
      </c>
      <c r="F52">
        <f t="shared" si="8"/>
        <v>485</v>
      </c>
      <c r="G52">
        <f t="shared" si="0"/>
        <v>246</v>
      </c>
    </row>
    <row r="55" spans="1:7" ht="18.75" customHeight="1" x14ac:dyDescent="0.3">
      <c r="A55" s="114" t="s">
        <v>575</v>
      </c>
    </row>
    <row r="56" spans="1:7" x14ac:dyDescent="0.25">
      <c r="A56" s="115" t="s">
        <v>88</v>
      </c>
      <c r="B56" s="115" t="s">
        <v>576</v>
      </c>
      <c r="C56" s="115" t="s">
        <v>577</v>
      </c>
      <c r="D56" s="115" t="s">
        <v>578</v>
      </c>
      <c r="E56" s="115" t="s">
        <v>579</v>
      </c>
    </row>
    <row r="57" spans="1:7" x14ac:dyDescent="0.25">
      <c r="A57" t="s">
        <v>580</v>
      </c>
      <c r="B57">
        <f>F40</f>
        <v>21</v>
      </c>
      <c r="C57">
        <f>E40</f>
        <v>15</v>
      </c>
      <c r="D57">
        <f>B57-C57</f>
        <v>6</v>
      </c>
      <c r="E57">
        <f>IF(B57&gt;0,D57/B57,0)</f>
        <v>0.2857142857142857</v>
      </c>
    </row>
    <row r="58" spans="1:7" x14ac:dyDescent="0.25">
      <c r="A58" t="s">
        <v>581</v>
      </c>
      <c r="B58">
        <f>F52</f>
        <v>485</v>
      </c>
      <c r="C58">
        <f>E52</f>
        <v>239</v>
      </c>
      <c r="D58">
        <f>B58-C58</f>
        <v>246</v>
      </c>
      <c r="E58">
        <f>IF(B58&gt;0,D58/B58,0)</f>
        <v>0.5072164948453608</v>
      </c>
    </row>
    <row r="59" spans="1:7" x14ac:dyDescent="0.25">
      <c r="A59" t="s">
        <v>520</v>
      </c>
      <c r="B59">
        <f>Assumptions!B186</f>
        <v>0</v>
      </c>
      <c r="C59">
        <f>SUM(C29:C52)</f>
        <v>41</v>
      </c>
      <c r="D59">
        <f>C59</f>
        <v>41</v>
      </c>
      <c r="E59" t="s">
        <v>582</v>
      </c>
    </row>
    <row r="60" spans="1:7" x14ac:dyDescent="0.25">
      <c r="A60" t="s">
        <v>583</v>
      </c>
      <c r="B60">
        <f>B58*$B$18*12</f>
        <v>38138460</v>
      </c>
      <c r="C60">
        <f>C58*$B$18*12</f>
        <v>18794004</v>
      </c>
      <c r="D60">
        <f>B60-C60</f>
        <v>19344456</v>
      </c>
      <c r="E60">
        <f>IF(B60&gt;0,D60/B60,0)</f>
        <v>0.5072164948453608</v>
      </c>
    </row>
    <row r="63" spans="1:7" ht="18.75" customHeight="1" x14ac:dyDescent="0.25">
      <c r="A63" s="119" t="s">
        <v>584</v>
      </c>
    </row>
    <row r="65" spans="1:4" x14ac:dyDescent="0.25">
      <c r="A65" s="126" t="s">
        <v>585</v>
      </c>
    </row>
    <row r="67" spans="1:4" x14ac:dyDescent="0.25">
      <c r="A67" t="s">
        <v>586</v>
      </c>
    </row>
    <row r="68" spans="1:4" x14ac:dyDescent="0.25">
      <c r="A68" t="s">
        <v>587</v>
      </c>
    </row>
    <row r="69" spans="1:4" x14ac:dyDescent="0.25">
      <c r="A69" t="s">
        <v>588</v>
      </c>
    </row>
    <row r="70" spans="1:4" x14ac:dyDescent="0.25">
      <c r="A70" t="s">
        <v>589</v>
      </c>
    </row>
    <row r="71" spans="1:4" x14ac:dyDescent="0.25">
      <c r="A71" t="s">
        <v>590</v>
      </c>
    </row>
    <row r="72" spans="1:4" x14ac:dyDescent="0.25">
      <c r="A72" t="s">
        <v>591</v>
      </c>
    </row>
    <row r="73" spans="1:4" x14ac:dyDescent="0.25">
      <c r="A73" t="s">
        <v>592</v>
      </c>
    </row>
    <row r="76" spans="1:4" x14ac:dyDescent="0.25">
      <c r="A76" s="126" t="s">
        <v>593</v>
      </c>
    </row>
    <row r="78" spans="1:4" x14ac:dyDescent="0.25">
      <c r="A78" s="120" t="s">
        <v>594</v>
      </c>
      <c r="B78" s="120" t="s">
        <v>595</v>
      </c>
      <c r="C78" s="120" t="s">
        <v>596</v>
      </c>
      <c r="D78" s="120" t="s">
        <v>597</v>
      </c>
    </row>
    <row r="79" spans="1:4" x14ac:dyDescent="0.25">
      <c r="A79" t="s">
        <v>598</v>
      </c>
      <c r="B79" t="s">
        <v>599</v>
      </c>
      <c r="C79" t="s">
        <v>600</v>
      </c>
      <c r="D79" t="s">
        <v>601</v>
      </c>
    </row>
    <row r="80" spans="1:4" x14ac:dyDescent="0.25">
      <c r="A80" t="s">
        <v>602</v>
      </c>
      <c r="B80" t="s">
        <v>603</v>
      </c>
      <c r="C80" t="s">
        <v>604</v>
      </c>
      <c r="D80" t="s">
        <v>605</v>
      </c>
    </row>
    <row r="81" spans="1:4" x14ac:dyDescent="0.25">
      <c r="A81" t="s">
        <v>606</v>
      </c>
      <c r="B81" t="s">
        <v>443</v>
      </c>
      <c r="C81" t="s">
        <v>600</v>
      </c>
      <c r="D81" t="s">
        <v>607</v>
      </c>
    </row>
    <row r="82" spans="1:4" x14ac:dyDescent="0.25">
      <c r="A82" t="s">
        <v>476</v>
      </c>
      <c r="B82" t="s">
        <v>608</v>
      </c>
      <c r="C82" t="s">
        <v>609</v>
      </c>
      <c r="D82" t="s">
        <v>610</v>
      </c>
    </row>
    <row r="83" spans="1:4" x14ac:dyDescent="0.25">
      <c r="A83" t="s">
        <v>611</v>
      </c>
      <c r="B83" t="s">
        <v>612</v>
      </c>
      <c r="C83" t="s">
        <v>613</v>
      </c>
      <c r="D83" t="s">
        <v>614</v>
      </c>
    </row>
    <row r="84" spans="1:4" x14ac:dyDescent="0.25">
      <c r="A84" t="s">
        <v>615</v>
      </c>
      <c r="B84" t="s">
        <v>616</v>
      </c>
      <c r="C84" t="s">
        <v>617</v>
      </c>
      <c r="D84" t="s">
        <v>618</v>
      </c>
    </row>
    <row r="85" spans="1:4" x14ac:dyDescent="0.25">
      <c r="A85" t="s">
        <v>615</v>
      </c>
      <c r="B85" t="s">
        <v>619</v>
      </c>
      <c r="C85" t="s">
        <v>620</v>
      </c>
      <c r="D85" t="s">
        <v>621</v>
      </c>
    </row>
  </sheetData>
  <dataValidations count="1">
    <dataValidation type="decimal" allowBlank="1" showInputMessage="1" showErrorMessage="1" errorTitle="Invalid Churn Rate" error="Churn rate must be between 0% and 50% (enter as decimal, e.g., 0.05 for 5%)" promptTitle="Churn Rate Input" prompt="Enter a churn rate between 0% and 50% (as decimal, e.g., 0.05 = 5%)" sqref="B7 B8 B9" xr:uid="{00000000-0002-0000-0600-000000000000}">
      <formula1>0</formula1>
      <formula2>0.5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0"/>
  <sheetViews>
    <sheetView topLeftCell="A69" workbookViewId="0">
      <selection activeCell="C71" sqref="C71"/>
    </sheetView>
  </sheetViews>
  <sheetFormatPr defaultRowHeight="15" x14ac:dyDescent="0.25"/>
  <cols>
    <col min="1" max="1" width="62.42578125" customWidth="1"/>
    <col min="2" max="2" width="32" bestFit="1" customWidth="1"/>
    <col min="3" max="3" width="44.5703125" bestFit="1" customWidth="1"/>
    <col min="4" max="4" width="8.7109375" bestFit="1" customWidth="1"/>
    <col min="5" max="5" width="12.85546875" customWidth="1"/>
    <col min="6" max="6" width="10.85546875" bestFit="1" customWidth="1"/>
    <col min="7" max="7" width="15.7109375" customWidth="1"/>
    <col min="8" max="8" width="56.140625" customWidth="1"/>
  </cols>
  <sheetData>
    <row r="1" spans="1:8" ht="21" customHeight="1" x14ac:dyDescent="0.35">
      <c r="A1" s="1" t="s">
        <v>622</v>
      </c>
      <c r="B1" s="13"/>
    </row>
    <row r="2" spans="1:8" x14ac:dyDescent="0.25">
      <c r="A2" s="2" t="s">
        <v>623</v>
      </c>
    </row>
    <row r="3" spans="1:8" x14ac:dyDescent="0.25">
      <c r="A3" s="3" t="s">
        <v>215</v>
      </c>
    </row>
    <row r="5" spans="1:8" x14ac:dyDescent="0.25">
      <c r="A5" s="14" t="s">
        <v>216</v>
      </c>
      <c r="B5" s="14" t="s">
        <v>624</v>
      </c>
      <c r="C5" s="14" t="s">
        <v>115</v>
      </c>
      <c r="D5" s="15" t="s">
        <v>625</v>
      </c>
      <c r="E5" s="14" t="s">
        <v>626</v>
      </c>
      <c r="F5" s="14" t="s">
        <v>627</v>
      </c>
      <c r="G5" s="14" t="s">
        <v>628</v>
      </c>
      <c r="H5" s="15" t="s">
        <v>629</v>
      </c>
    </row>
    <row r="6" spans="1:8" ht="30" customHeight="1" x14ac:dyDescent="0.25">
      <c r="A6" s="16" t="s">
        <v>521</v>
      </c>
      <c r="B6" s="16" t="s">
        <v>630</v>
      </c>
      <c r="C6" s="16" t="s">
        <v>631</v>
      </c>
      <c r="D6" s="17">
        <v>1</v>
      </c>
      <c r="E6" s="18">
        <f>Assumptions!B187</f>
        <v>22000</v>
      </c>
      <c r="F6" s="18">
        <f>Assumptions!B187</f>
        <v>22000</v>
      </c>
      <c r="G6" s="19" t="s">
        <v>632</v>
      </c>
      <c r="H6" s="20" t="s">
        <v>633</v>
      </c>
    </row>
    <row r="7" spans="1:8" ht="30" customHeight="1" x14ac:dyDescent="0.25">
      <c r="A7" s="16" t="s">
        <v>521</v>
      </c>
      <c r="B7" s="16" t="s">
        <v>634</v>
      </c>
      <c r="C7" s="16" t="s">
        <v>635</v>
      </c>
      <c r="D7" s="17">
        <v>1</v>
      </c>
      <c r="E7" s="18">
        <f>Assumptions!B188</f>
        <v>35000</v>
      </c>
      <c r="F7" s="18">
        <f>Assumptions!B188</f>
        <v>35000</v>
      </c>
      <c r="G7" s="19" t="s">
        <v>636</v>
      </c>
      <c r="H7" s="20" t="s">
        <v>637</v>
      </c>
    </row>
    <row r="8" spans="1:8" ht="30" customHeight="1" x14ac:dyDescent="0.25">
      <c r="A8" s="16" t="s">
        <v>521</v>
      </c>
      <c r="B8" s="16" t="s">
        <v>638</v>
      </c>
      <c r="C8" s="16" t="s">
        <v>639</v>
      </c>
      <c r="D8" s="17">
        <v>1</v>
      </c>
      <c r="E8" s="18">
        <f>Assumptions!B189</f>
        <v>18000</v>
      </c>
      <c r="F8" s="18">
        <f>Assumptions!B189</f>
        <v>18000</v>
      </c>
      <c r="G8" s="19" t="s">
        <v>640</v>
      </c>
      <c r="H8" s="20" t="s">
        <v>641</v>
      </c>
    </row>
    <row r="9" spans="1:8" ht="30" customHeight="1" x14ac:dyDescent="0.25">
      <c r="A9" s="16" t="s">
        <v>521</v>
      </c>
      <c r="B9" s="16" t="s">
        <v>642</v>
      </c>
      <c r="C9" s="16" t="s">
        <v>643</v>
      </c>
      <c r="D9" s="17">
        <v>1</v>
      </c>
      <c r="E9" s="18">
        <f>Assumptions!B190</f>
        <v>8000</v>
      </c>
      <c r="F9" s="18">
        <f>Assumptions!B190</f>
        <v>8000</v>
      </c>
      <c r="G9" s="19" t="s">
        <v>644</v>
      </c>
      <c r="H9" s="20" t="s">
        <v>645</v>
      </c>
    </row>
    <row r="10" spans="1:8" x14ac:dyDescent="0.25">
      <c r="A10" s="16" t="s">
        <v>521</v>
      </c>
      <c r="B10" s="16" t="s">
        <v>646</v>
      </c>
      <c r="C10" s="16" t="s">
        <v>647</v>
      </c>
      <c r="D10" s="17">
        <v>6</v>
      </c>
      <c r="E10" s="18">
        <v>400</v>
      </c>
      <c r="F10" s="18">
        <f>Assumptions!B191</f>
        <v>2400</v>
      </c>
      <c r="G10" s="19" t="s">
        <v>632</v>
      </c>
      <c r="H10" s="20" t="s">
        <v>648</v>
      </c>
    </row>
    <row r="11" spans="1:8" ht="30" customHeight="1" x14ac:dyDescent="0.25">
      <c r="A11" s="16" t="s">
        <v>521</v>
      </c>
      <c r="B11" s="16" t="s">
        <v>649</v>
      </c>
      <c r="C11" s="16" t="s">
        <v>650</v>
      </c>
      <c r="D11" s="17">
        <v>6</v>
      </c>
      <c r="E11" s="18">
        <v>250</v>
      </c>
      <c r="F11" s="18">
        <f>Assumptions!B192</f>
        <v>1500</v>
      </c>
      <c r="G11" s="19" t="s">
        <v>632</v>
      </c>
      <c r="H11" s="20" t="s">
        <v>651</v>
      </c>
    </row>
    <row r="12" spans="1:8" x14ac:dyDescent="0.25">
      <c r="A12" s="21" t="s">
        <v>313</v>
      </c>
      <c r="B12" s="21" t="s">
        <v>652</v>
      </c>
      <c r="C12" s="21" t="s">
        <v>653</v>
      </c>
      <c r="D12" s="22">
        <v>1</v>
      </c>
      <c r="E12" s="23">
        <f>Assumptions!B193</f>
        <v>2000</v>
      </c>
      <c r="F12" s="23">
        <f>Assumptions!B193</f>
        <v>2000</v>
      </c>
      <c r="G12" s="24" t="s">
        <v>654</v>
      </c>
      <c r="H12" s="25" t="s">
        <v>655</v>
      </c>
    </row>
    <row r="13" spans="1:8" ht="30" customHeight="1" x14ac:dyDescent="0.25">
      <c r="A13" s="21" t="s">
        <v>313</v>
      </c>
      <c r="B13" s="21" t="s">
        <v>656</v>
      </c>
      <c r="C13" s="21" t="s">
        <v>657</v>
      </c>
      <c r="D13" s="22">
        <v>1</v>
      </c>
      <c r="E13" s="23">
        <f>Assumptions!B194</f>
        <v>2500</v>
      </c>
      <c r="F13" s="23">
        <f>Assumptions!B194</f>
        <v>2500</v>
      </c>
      <c r="G13" s="24" t="s">
        <v>654</v>
      </c>
      <c r="H13" s="25" t="s">
        <v>658</v>
      </c>
    </row>
    <row r="14" spans="1:8" x14ac:dyDescent="0.25">
      <c r="A14" s="21" t="s">
        <v>313</v>
      </c>
      <c r="B14" s="21" t="s">
        <v>659</v>
      </c>
      <c r="C14" s="21" t="s">
        <v>660</v>
      </c>
      <c r="D14" s="22">
        <v>1</v>
      </c>
      <c r="E14" s="23">
        <f>Assumptions!B195</f>
        <v>1200</v>
      </c>
      <c r="F14" s="23">
        <f>Assumptions!B195</f>
        <v>1200</v>
      </c>
      <c r="G14" s="24" t="s">
        <v>654</v>
      </c>
      <c r="H14" s="25" t="s">
        <v>661</v>
      </c>
    </row>
    <row r="15" spans="1:8" x14ac:dyDescent="0.25">
      <c r="A15" s="21" t="s">
        <v>313</v>
      </c>
      <c r="B15" s="21" t="s">
        <v>662</v>
      </c>
      <c r="C15" s="21" t="s">
        <v>663</v>
      </c>
      <c r="D15" s="22">
        <v>6</v>
      </c>
      <c r="E15" s="23">
        <v>650</v>
      </c>
      <c r="F15" s="23">
        <f>Assumptions!B196</f>
        <v>3900</v>
      </c>
      <c r="G15" s="24" t="s">
        <v>632</v>
      </c>
      <c r="H15" s="25" t="s">
        <v>664</v>
      </c>
    </row>
    <row r="16" spans="1:8" ht="30" customHeight="1" x14ac:dyDescent="0.25">
      <c r="A16" s="21" t="s">
        <v>313</v>
      </c>
      <c r="B16" s="21" t="s">
        <v>665</v>
      </c>
      <c r="C16" s="21" t="s">
        <v>666</v>
      </c>
      <c r="D16" s="22">
        <v>1</v>
      </c>
      <c r="E16" s="23">
        <f>Assumptions!B197</f>
        <v>3500</v>
      </c>
      <c r="F16" s="23">
        <f>Assumptions!B197</f>
        <v>3500</v>
      </c>
      <c r="G16" s="24" t="s">
        <v>667</v>
      </c>
      <c r="H16" s="25" t="s">
        <v>668</v>
      </c>
    </row>
    <row r="17" spans="1:8" x14ac:dyDescent="0.25">
      <c r="A17" s="21" t="s">
        <v>313</v>
      </c>
      <c r="B17" s="21" t="s">
        <v>669</v>
      </c>
      <c r="C17" s="21" t="s">
        <v>670</v>
      </c>
      <c r="D17" s="22">
        <v>1</v>
      </c>
      <c r="E17" s="23">
        <v>750</v>
      </c>
      <c r="F17" s="23">
        <v>750</v>
      </c>
      <c r="G17" s="24" t="s">
        <v>667</v>
      </c>
      <c r="H17" s="25" t="s">
        <v>671</v>
      </c>
    </row>
    <row r="18" spans="1:8" ht="30" customHeight="1" x14ac:dyDescent="0.25">
      <c r="A18" s="26" t="s">
        <v>522</v>
      </c>
      <c r="B18" s="26" t="s">
        <v>672</v>
      </c>
      <c r="C18" s="26" t="s">
        <v>673</v>
      </c>
      <c r="D18" s="27">
        <v>1</v>
      </c>
      <c r="E18" s="28">
        <f>Assumptions!B198</f>
        <v>3000</v>
      </c>
      <c r="F18" s="28">
        <f>Assumptions!B198</f>
        <v>3000</v>
      </c>
      <c r="G18" s="29" t="s">
        <v>636</v>
      </c>
      <c r="H18" s="30" t="s">
        <v>674</v>
      </c>
    </row>
    <row r="19" spans="1:8" ht="30" customHeight="1" x14ac:dyDescent="0.25">
      <c r="A19" s="26" t="s">
        <v>522</v>
      </c>
      <c r="B19" s="26" t="s">
        <v>675</v>
      </c>
      <c r="C19" s="26" t="s">
        <v>676</v>
      </c>
      <c r="D19" s="27">
        <v>1</v>
      </c>
      <c r="E19" s="28">
        <f>Assumptions!B199</f>
        <v>5000</v>
      </c>
      <c r="F19" s="28">
        <f>Assumptions!B199</f>
        <v>5000</v>
      </c>
      <c r="G19" s="29" t="s">
        <v>677</v>
      </c>
      <c r="H19" s="30" t="s">
        <v>678</v>
      </c>
    </row>
    <row r="20" spans="1:8" ht="30" customHeight="1" x14ac:dyDescent="0.25">
      <c r="A20" s="26" t="s">
        <v>522</v>
      </c>
      <c r="B20" s="26" t="s">
        <v>679</v>
      </c>
      <c r="C20" s="26" t="s">
        <v>680</v>
      </c>
      <c r="D20" s="27">
        <v>1</v>
      </c>
      <c r="E20" s="28">
        <f>Assumptions!B200</f>
        <v>2500</v>
      </c>
      <c r="F20" s="28">
        <f>Assumptions!B200</f>
        <v>2500</v>
      </c>
      <c r="G20" s="29" t="s">
        <v>677</v>
      </c>
      <c r="H20" s="30" t="s">
        <v>681</v>
      </c>
    </row>
    <row r="21" spans="1:8" ht="30" customHeight="1" x14ac:dyDescent="0.25">
      <c r="A21" s="26" t="s">
        <v>522</v>
      </c>
      <c r="B21" s="26" t="s">
        <v>682</v>
      </c>
      <c r="C21" s="26" t="s">
        <v>683</v>
      </c>
      <c r="D21" s="27">
        <v>1</v>
      </c>
      <c r="E21" s="28">
        <f>Assumptions!B201</f>
        <v>2000</v>
      </c>
      <c r="F21" s="28">
        <f>Assumptions!B201</f>
        <v>2000</v>
      </c>
      <c r="G21" s="29" t="s">
        <v>684</v>
      </c>
      <c r="H21" s="30" t="s">
        <v>685</v>
      </c>
    </row>
    <row r="22" spans="1:8" x14ac:dyDescent="0.25">
      <c r="A22" s="31" t="s">
        <v>523</v>
      </c>
      <c r="B22" s="31" t="s">
        <v>686</v>
      </c>
      <c r="C22" s="31" t="s">
        <v>687</v>
      </c>
      <c r="D22" s="32">
        <v>1</v>
      </c>
      <c r="E22" s="33">
        <f>Assumptions!B197</f>
        <v>3500</v>
      </c>
      <c r="F22" s="33">
        <f>Assumptions!B197</f>
        <v>3500</v>
      </c>
      <c r="G22" s="34" t="s">
        <v>654</v>
      </c>
      <c r="H22" s="35" t="s">
        <v>688</v>
      </c>
    </row>
    <row r="23" spans="1:8" ht="30" customHeight="1" x14ac:dyDescent="0.25">
      <c r="A23" s="31" t="s">
        <v>523</v>
      </c>
      <c r="B23" s="31" t="s">
        <v>689</v>
      </c>
      <c r="C23" s="31" t="s">
        <v>690</v>
      </c>
      <c r="D23" s="32">
        <v>1</v>
      </c>
      <c r="E23" s="33">
        <f>Assumptions!B202</f>
        <v>5000</v>
      </c>
      <c r="F23" s="33">
        <f>Assumptions!B202</f>
        <v>5000</v>
      </c>
      <c r="G23" s="34" t="s">
        <v>691</v>
      </c>
      <c r="H23" s="35" t="s">
        <v>692</v>
      </c>
    </row>
    <row r="24" spans="1:8" x14ac:dyDescent="0.25">
      <c r="A24" s="31" t="s">
        <v>523</v>
      </c>
      <c r="B24" s="31" t="s">
        <v>693</v>
      </c>
      <c r="C24" s="31" t="s">
        <v>694</v>
      </c>
      <c r="D24" s="32">
        <v>1</v>
      </c>
      <c r="E24" s="33">
        <f>Assumptions!B192</f>
        <v>1500</v>
      </c>
      <c r="F24" s="33">
        <f>Assumptions!B192</f>
        <v>1500</v>
      </c>
      <c r="G24" s="34" t="s">
        <v>695</v>
      </c>
      <c r="H24" s="35" t="s">
        <v>696</v>
      </c>
    </row>
    <row r="25" spans="1:8" x14ac:dyDescent="0.25">
      <c r="A25" s="31" t="s">
        <v>523</v>
      </c>
      <c r="B25" s="31" t="s">
        <v>697</v>
      </c>
      <c r="C25" s="31" t="s">
        <v>698</v>
      </c>
      <c r="D25" s="32">
        <v>1</v>
      </c>
      <c r="E25" s="33">
        <f>Assumptions!B201</f>
        <v>2000</v>
      </c>
      <c r="F25" s="33">
        <f>Assumptions!B201</f>
        <v>2000</v>
      </c>
      <c r="G25" s="34" t="s">
        <v>699</v>
      </c>
      <c r="H25" s="35" t="s">
        <v>700</v>
      </c>
    </row>
    <row r="26" spans="1:8" x14ac:dyDescent="0.25">
      <c r="A26" s="31" t="s">
        <v>523</v>
      </c>
      <c r="B26" s="31" t="s">
        <v>701</v>
      </c>
      <c r="C26" s="31" t="s">
        <v>702</v>
      </c>
      <c r="D26" s="32">
        <v>1</v>
      </c>
      <c r="E26" s="33">
        <v>500</v>
      </c>
      <c r="F26" s="33">
        <v>500</v>
      </c>
      <c r="G26" s="34" t="s">
        <v>703</v>
      </c>
      <c r="H26" s="35" t="s">
        <v>704</v>
      </c>
    </row>
    <row r="27" spans="1:8" x14ac:dyDescent="0.25">
      <c r="A27" s="36" t="s">
        <v>524</v>
      </c>
      <c r="B27" s="36" t="s">
        <v>705</v>
      </c>
      <c r="C27" s="36" t="s">
        <v>706</v>
      </c>
      <c r="D27" s="37">
        <v>6</v>
      </c>
      <c r="E27" s="38">
        <f>Assumptions!B203</f>
        <v>1200</v>
      </c>
      <c r="F27" s="38">
        <f>Assumptions!B204</f>
        <v>7200</v>
      </c>
      <c r="G27" s="39" t="s">
        <v>632</v>
      </c>
      <c r="H27" s="40" t="s">
        <v>707</v>
      </c>
    </row>
    <row r="28" spans="1:8" x14ac:dyDescent="0.25">
      <c r="A28" s="36" t="s">
        <v>524</v>
      </c>
      <c r="B28" s="36" t="s">
        <v>708</v>
      </c>
      <c r="C28" s="36" t="s">
        <v>709</v>
      </c>
      <c r="D28" s="37">
        <v>6</v>
      </c>
      <c r="E28" s="38">
        <v>150</v>
      </c>
      <c r="F28" s="38">
        <v>900</v>
      </c>
      <c r="G28" s="39" t="s">
        <v>632</v>
      </c>
      <c r="H28" s="40" t="s">
        <v>710</v>
      </c>
    </row>
    <row r="29" spans="1:8" x14ac:dyDescent="0.25">
      <c r="A29" s="36" t="s">
        <v>524</v>
      </c>
      <c r="B29" s="36" t="s">
        <v>711</v>
      </c>
      <c r="C29" s="36" t="s">
        <v>712</v>
      </c>
      <c r="D29" s="37">
        <v>1</v>
      </c>
      <c r="E29" s="38">
        <f>Assumptions!B205</f>
        <v>2500</v>
      </c>
      <c r="F29" s="38">
        <f>Assumptions!B205</f>
        <v>2500</v>
      </c>
      <c r="G29" s="39" t="s">
        <v>654</v>
      </c>
      <c r="H29" s="40" t="s">
        <v>713</v>
      </c>
    </row>
    <row r="30" spans="1:8" x14ac:dyDescent="0.25">
      <c r="A30" s="36" t="s">
        <v>524</v>
      </c>
      <c r="B30" s="36" t="s">
        <v>324</v>
      </c>
      <c r="C30" s="36" t="s">
        <v>714</v>
      </c>
      <c r="D30" s="37">
        <v>6</v>
      </c>
      <c r="E30" s="38">
        <v>99</v>
      </c>
      <c r="F30" s="38">
        <v>594</v>
      </c>
      <c r="G30" s="39" t="s">
        <v>632</v>
      </c>
      <c r="H30" s="40" t="s">
        <v>715</v>
      </c>
    </row>
    <row r="31" spans="1:8" x14ac:dyDescent="0.25">
      <c r="A31" s="36" t="s">
        <v>524</v>
      </c>
      <c r="B31" s="36" t="s">
        <v>326</v>
      </c>
      <c r="C31" s="36" t="s">
        <v>716</v>
      </c>
      <c r="D31" s="37">
        <v>6</v>
      </c>
      <c r="E31" s="38">
        <v>30</v>
      </c>
      <c r="F31" s="38">
        <v>180</v>
      </c>
      <c r="G31" s="39" t="s">
        <v>632</v>
      </c>
      <c r="H31" s="40" t="s">
        <v>717</v>
      </c>
    </row>
    <row r="32" spans="1:8" x14ac:dyDescent="0.25">
      <c r="A32" s="36" t="s">
        <v>524</v>
      </c>
      <c r="B32" s="36" t="s">
        <v>328</v>
      </c>
      <c r="C32" s="36" t="s">
        <v>718</v>
      </c>
      <c r="D32" s="37">
        <v>6</v>
      </c>
      <c r="E32" s="38">
        <v>25</v>
      </c>
      <c r="F32" s="38">
        <v>150</v>
      </c>
      <c r="G32" s="39" t="s">
        <v>632</v>
      </c>
      <c r="H32" s="40" t="s">
        <v>719</v>
      </c>
    </row>
    <row r="33" spans="1:8" x14ac:dyDescent="0.25">
      <c r="A33" s="41" t="s">
        <v>525</v>
      </c>
      <c r="B33" s="41" t="s">
        <v>720</v>
      </c>
      <c r="C33" s="41" t="s">
        <v>721</v>
      </c>
      <c r="D33" s="42">
        <v>6</v>
      </c>
      <c r="E33" s="43">
        <f>Assumptions!B197</f>
        <v>3500</v>
      </c>
      <c r="F33" s="43">
        <f>Assumptions!B206</f>
        <v>21000</v>
      </c>
      <c r="G33" s="44" t="s">
        <v>632</v>
      </c>
      <c r="H33" s="45" t="s">
        <v>722</v>
      </c>
    </row>
    <row r="34" spans="1:8" ht="30" customHeight="1" x14ac:dyDescent="0.25">
      <c r="A34" s="41" t="s">
        <v>525</v>
      </c>
      <c r="B34" s="41" t="s">
        <v>304</v>
      </c>
      <c r="C34" s="41" t="s">
        <v>723</v>
      </c>
      <c r="D34" s="42">
        <v>6</v>
      </c>
      <c r="E34" s="43">
        <v>400</v>
      </c>
      <c r="F34" s="43">
        <f>Assumptions!B207</f>
        <v>2400</v>
      </c>
      <c r="G34" s="44" t="s">
        <v>632</v>
      </c>
      <c r="H34" s="45" t="s">
        <v>724</v>
      </c>
    </row>
    <row r="35" spans="1:8" x14ac:dyDescent="0.25">
      <c r="A35" s="41" t="s">
        <v>525</v>
      </c>
      <c r="B35" s="41" t="s">
        <v>725</v>
      </c>
      <c r="C35" s="41" t="s">
        <v>726</v>
      </c>
      <c r="D35" s="42">
        <v>1</v>
      </c>
      <c r="E35" s="43">
        <f>Assumptions!B208</f>
        <v>3300</v>
      </c>
      <c r="F35" s="43">
        <f>Assumptions!B208</f>
        <v>3300</v>
      </c>
      <c r="G35" s="44" t="s">
        <v>632</v>
      </c>
      <c r="H35" s="45" t="s">
        <v>727</v>
      </c>
    </row>
    <row r="36" spans="1:8" x14ac:dyDescent="0.25">
      <c r="A36" s="46" t="s">
        <v>526</v>
      </c>
      <c r="B36" s="46" t="s">
        <v>728</v>
      </c>
      <c r="C36" s="46" t="s">
        <v>729</v>
      </c>
      <c r="D36" s="47">
        <v>1</v>
      </c>
      <c r="E36" s="48">
        <f>Assumptions!B209</f>
        <v>9000</v>
      </c>
      <c r="F36" s="48">
        <f>Assumptions!B209</f>
        <v>9000</v>
      </c>
      <c r="G36" s="49" t="s">
        <v>730</v>
      </c>
      <c r="H36" s="50" t="s">
        <v>731</v>
      </c>
    </row>
    <row r="37" spans="1:8" x14ac:dyDescent="0.25">
      <c r="A37" s="46" t="s">
        <v>526</v>
      </c>
      <c r="B37" s="46" t="s">
        <v>732</v>
      </c>
      <c r="C37" s="46" t="s">
        <v>733</v>
      </c>
      <c r="D37" s="47">
        <v>1</v>
      </c>
      <c r="E37" s="48">
        <f>Assumptions!B210</f>
        <v>15000</v>
      </c>
      <c r="F37" s="48">
        <f>Assumptions!B210</f>
        <v>15000</v>
      </c>
      <c r="G37" s="49" t="s">
        <v>730</v>
      </c>
      <c r="H37" s="50" t="s">
        <v>734</v>
      </c>
    </row>
    <row r="39" spans="1:8" ht="15.75" customHeight="1" x14ac:dyDescent="0.25">
      <c r="A39" s="93" t="s">
        <v>735</v>
      </c>
    </row>
    <row r="40" spans="1:8" x14ac:dyDescent="0.25">
      <c r="A40" s="4" t="s">
        <v>521</v>
      </c>
      <c r="F40" s="51">
        <f>Assumptions!B211</f>
        <v>86900</v>
      </c>
    </row>
    <row r="41" spans="1:8" x14ac:dyDescent="0.25">
      <c r="A41" s="4" t="s">
        <v>313</v>
      </c>
      <c r="F41" s="51">
        <f>Assumptions!B212</f>
        <v>13850</v>
      </c>
    </row>
    <row r="42" spans="1:8" x14ac:dyDescent="0.25">
      <c r="A42" s="4" t="s">
        <v>522</v>
      </c>
      <c r="F42" s="51">
        <f>Assumptions!B213</f>
        <v>12500</v>
      </c>
    </row>
    <row r="43" spans="1:8" x14ac:dyDescent="0.25">
      <c r="A43" s="4" t="s">
        <v>523</v>
      </c>
      <c r="F43" s="51">
        <f>Assumptions!B213</f>
        <v>12500</v>
      </c>
    </row>
    <row r="44" spans="1:8" x14ac:dyDescent="0.25">
      <c r="A44" s="4" t="s">
        <v>524</v>
      </c>
      <c r="F44" s="51">
        <f>Assumptions!B214</f>
        <v>11524</v>
      </c>
    </row>
    <row r="45" spans="1:8" x14ac:dyDescent="0.25">
      <c r="A45" s="4" t="s">
        <v>525</v>
      </c>
      <c r="F45" s="51">
        <f>Assumptions!B215</f>
        <v>26700</v>
      </c>
    </row>
    <row r="46" spans="1:8" x14ac:dyDescent="0.25">
      <c r="A46" s="4" t="s">
        <v>526</v>
      </c>
      <c r="F46" s="51">
        <f>Assumptions!B216</f>
        <v>24000</v>
      </c>
    </row>
    <row r="48" spans="1:8" ht="17.25" customHeight="1" x14ac:dyDescent="0.3">
      <c r="E48" s="52" t="s">
        <v>736</v>
      </c>
      <c r="F48" s="53">
        <f>SUM(F40:F47)</f>
        <v>187974</v>
      </c>
    </row>
    <row r="51" spans="1:2" ht="15.75" customHeight="1" x14ac:dyDescent="0.25">
      <c r="A51" s="93" t="s">
        <v>737</v>
      </c>
    </row>
    <row r="52" spans="1:2" ht="45" customHeight="1" x14ac:dyDescent="0.25">
      <c r="A52" s="4" t="s">
        <v>738</v>
      </c>
      <c r="B52" s="94" t="s">
        <v>739</v>
      </c>
    </row>
    <row r="53" spans="1:2" ht="45" customHeight="1" x14ac:dyDescent="0.25">
      <c r="A53" s="4" t="s">
        <v>740</v>
      </c>
      <c r="B53" s="94" t="s">
        <v>741</v>
      </c>
    </row>
    <row r="54" spans="1:2" ht="30" customHeight="1" x14ac:dyDescent="0.25">
      <c r="A54" s="4" t="s">
        <v>742</v>
      </c>
      <c r="B54" s="94" t="s">
        <v>743</v>
      </c>
    </row>
    <row r="55" spans="1:2" ht="45" customHeight="1" x14ac:dyDescent="0.25">
      <c r="A55" s="4" t="s">
        <v>744</v>
      </c>
      <c r="B55" s="94" t="s">
        <v>745</v>
      </c>
    </row>
    <row r="56" spans="1:2" ht="30" customHeight="1" x14ac:dyDescent="0.25">
      <c r="A56" s="4" t="s">
        <v>746</v>
      </c>
      <c r="B56" s="94" t="s">
        <v>747</v>
      </c>
    </row>
    <row r="57" spans="1:2" ht="45" customHeight="1" x14ac:dyDescent="0.25">
      <c r="A57" s="4" t="s">
        <v>748</v>
      </c>
      <c r="B57" s="94" t="s">
        <v>749</v>
      </c>
    </row>
    <row r="58" spans="1:2" ht="30" customHeight="1" x14ac:dyDescent="0.25">
      <c r="A58" s="4" t="s">
        <v>750</v>
      </c>
      <c r="B58" s="94" t="s">
        <v>751</v>
      </c>
    </row>
    <row r="59" spans="1:2" ht="45" customHeight="1" x14ac:dyDescent="0.25">
      <c r="A59" s="4" t="s">
        <v>752</v>
      </c>
      <c r="B59" s="94" t="s">
        <v>753</v>
      </c>
    </row>
    <row r="60" spans="1:2" ht="45" customHeight="1" x14ac:dyDescent="0.25">
      <c r="A60" s="4" t="s">
        <v>754</v>
      </c>
      <c r="B60" s="94" t="s">
        <v>755</v>
      </c>
    </row>
    <row r="61" spans="1:2" ht="45" customHeight="1" x14ac:dyDescent="0.25">
      <c r="A61" s="4" t="s">
        <v>756</v>
      </c>
      <c r="B61" s="94" t="s">
        <v>757</v>
      </c>
    </row>
    <row r="62" spans="1:2" ht="45" customHeight="1" x14ac:dyDescent="0.25">
      <c r="A62" s="4" t="s">
        <v>758</v>
      </c>
      <c r="B62" s="94" t="s">
        <v>759</v>
      </c>
    </row>
    <row r="63" spans="1:2" ht="30" customHeight="1" x14ac:dyDescent="0.25">
      <c r="A63" s="4" t="s">
        <v>760</v>
      </c>
      <c r="B63" s="94" t="s">
        <v>761</v>
      </c>
    </row>
    <row r="64" spans="1:2" ht="45" customHeight="1" x14ac:dyDescent="0.25">
      <c r="A64" s="4" t="s">
        <v>762</v>
      </c>
      <c r="B64" s="94" t="s">
        <v>763</v>
      </c>
    </row>
    <row r="65" spans="1:2" ht="45" customHeight="1" x14ac:dyDescent="0.25">
      <c r="A65" s="4" t="s">
        <v>764</v>
      </c>
      <c r="B65" s="94" t="s">
        <v>765</v>
      </c>
    </row>
    <row r="66" spans="1:2" ht="45" customHeight="1" x14ac:dyDescent="0.25">
      <c r="A66" s="4" t="s">
        <v>766</v>
      </c>
      <c r="B66" s="94" t="s">
        <v>767</v>
      </c>
    </row>
    <row r="69" spans="1:2" ht="15.75" customHeight="1" x14ac:dyDescent="0.25">
      <c r="A69" s="95" t="s">
        <v>768</v>
      </c>
    </row>
    <row r="70" spans="1:2" ht="30" customHeight="1" x14ac:dyDescent="0.25">
      <c r="A70" s="5" t="s">
        <v>769</v>
      </c>
      <c r="B70" s="94" t="s">
        <v>770</v>
      </c>
    </row>
    <row r="71" spans="1:2" ht="45" customHeight="1" x14ac:dyDescent="0.25">
      <c r="A71" s="5" t="s">
        <v>771</v>
      </c>
      <c r="B71" s="94" t="s">
        <v>772</v>
      </c>
    </row>
    <row r="72" spans="1:2" ht="45" customHeight="1" x14ac:dyDescent="0.25">
      <c r="A72" s="5" t="s">
        <v>773</v>
      </c>
      <c r="B72" s="94" t="s">
        <v>774</v>
      </c>
    </row>
    <row r="73" spans="1:2" ht="30" customHeight="1" x14ac:dyDescent="0.25">
      <c r="A73" s="5" t="s">
        <v>775</v>
      </c>
      <c r="B73" s="94" t="s">
        <v>776</v>
      </c>
    </row>
    <row r="74" spans="1:2" ht="45" customHeight="1" x14ac:dyDescent="0.25">
      <c r="A74" s="5" t="s">
        <v>777</v>
      </c>
      <c r="B74" s="94" t="s">
        <v>778</v>
      </c>
    </row>
    <row r="75" spans="1:2" ht="30" customHeight="1" x14ac:dyDescent="0.25">
      <c r="A75" s="5" t="s">
        <v>779</v>
      </c>
      <c r="B75" s="94" t="s">
        <v>780</v>
      </c>
    </row>
    <row r="76" spans="1:2" ht="45" customHeight="1" x14ac:dyDescent="0.25">
      <c r="A76" s="5" t="s">
        <v>781</v>
      </c>
      <c r="B76" s="94" t="s">
        <v>782</v>
      </c>
    </row>
    <row r="80" spans="1:2" ht="18.75" customHeight="1" x14ac:dyDescent="0.3">
      <c r="A80" s="96" t="s">
        <v>783</v>
      </c>
    </row>
    <row r="82" spans="1:3" x14ac:dyDescent="0.25">
      <c r="A82" s="97" t="s">
        <v>216</v>
      </c>
      <c r="B82" s="97" t="s">
        <v>337</v>
      </c>
      <c r="C82" s="97" t="s">
        <v>64</v>
      </c>
    </row>
    <row r="83" spans="1:3" x14ac:dyDescent="0.25">
      <c r="A83" s="98" t="s">
        <v>521</v>
      </c>
      <c r="B83" s="99">
        <f>Assumptions!B211</f>
        <v>86900</v>
      </c>
      <c r="C83" s="98" t="s">
        <v>784</v>
      </c>
    </row>
    <row r="84" spans="1:3" x14ac:dyDescent="0.25">
      <c r="A84" s="98" t="s">
        <v>313</v>
      </c>
      <c r="B84" s="99">
        <f>Assumptions!B212</f>
        <v>13850</v>
      </c>
      <c r="C84" s="98" t="s">
        <v>785</v>
      </c>
    </row>
    <row r="85" spans="1:3" x14ac:dyDescent="0.25">
      <c r="A85" s="98" t="s">
        <v>522</v>
      </c>
      <c r="B85" s="99">
        <f>Assumptions!B213</f>
        <v>12500</v>
      </c>
      <c r="C85" s="98" t="s">
        <v>786</v>
      </c>
    </row>
    <row r="86" spans="1:3" x14ac:dyDescent="0.25">
      <c r="A86" s="98" t="s">
        <v>523</v>
      </c>
      <c r="B86" s="99">
        <f>Assumptions!B213</f>
        <v>12500</v>
      </c>
      <c r="C86" s="98" t="s">
        <v>787</v>
      </c>
    </row>
    <row r="87" spans="1:3" x14ac:dyDescent="0.25">
      <c r="A87" s="98" t="s">
        <v>524</v>
      </c>
      <c r="B87" s="99">
        <f>Assumptions!B214</f>
        <v>11524</v>
      </c>
      <c r="C87" s="98" t="s">
        <v>788</v>
      </c>
    </row>
    <row r="88" spans="1:3" x14ac:dyDescent="0.25">
      <c r="A88" s="98" t="s">
        <v>789</v>
      </c>
      <c r="B88" s="99">
        <f>Assumptions!B215</f>
        <v>26700</v>
      </c>
      <c r="C88" s="98" t="s">
        <v>790</v>
      </c>
    </row>
    <row r="89" spans="1:3" x14ac:dyDescent="0.25">
      <c r="A89" s="98" t="s">
        <v>526</v>
      </c>
      <c r="B89" s="99">
        <f>Assumptions!B216</f>
        <v>24000</v>
      </c>
      <c r="C89" s="98" t="s">
        <v>791</v>
      </c>
    </row>
    <row r="90" spans="1:3" x14ac:dyDescent="0.25">
      <c r="A90" s="100" t="s">
        <v>792</v>
      </c>
      <c r="B90" s="101">
        <f>SUM(B83:B89)</f>
        <v>187974</v>
      </c>
      <c r="C90" s="98" t="s">
        <v>793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22" workbookViewId="0">
      <selection activeCell="A45" sqref="A45:XFD45"/>
    </sheetView>
  </sheetViews>
  <sheetFormatPr defaultRowHeight="15" x14ac:dyDescent="0.25"/>
  <cols>
    <col min="1" max="1" width="53.28515625" bestFit="1" customWidth="1"/>
    <col min="2" max="2" width="22.7109375" bestFit="1" customWidth="1"/>
    <col min="3" max="3" width="40.7109375" bestFit="1" customWidth="1"/>
    <col min="4" max="4" width="50.5703125" customWidth="1"/>
    <col min="5" max="5" width="55" customWidth="1"/>
    <col min="6" max="6" width="20" customWidth="1"/>
    <col min="7" max="8" width="12" customWidth="1"/>
  </cols>
  <sheetData>
    <row r="1" spans="1:8" ht="18.75" customHeight="1" x14ac:dyDescent="0.3">
      <c r="A1" s="54" t="s">
        <v>794</v>
      </c>
    </row>
    <row r="2" spans="1:8" x14ac:dyDescent="0.25">
      <c r="A2" t="s">
        <v>795</v>
      </c>
    </row>
    <row r="3" spans="1:8" x14ac:dyDescent="0.25">
      <c r="A3" t="s">
        <v>796</v>
      </c>
    </row>
    <row r="5" spans="1:8" x14ac:dyDescent="0.25">
      <c r="A5" s="55"/>
      <c r="B5" s="55" t="s">
        <v>797</v>
      </c>
      <c r="C5" s="55" t="s">
        <v>798</v>
      </c>
      <c r="D5" s="55" t="s">
        <v>471</v>
      </c>
      <c r="E5" s="55" t="s">
        <v>799</v>
      </c>
      <c r="F5" s="55" t="s">
        <v>800</v>
      </c>
      <c r="G5" s="55" t="s">
        <v>801</v>
      </c>
      <c r="H5" s="55" t="s">
        <v>802</v>
      </c>
    </row>
    <row r="6" spans="1:8" x14ac:dyDescent="0.25">
      <c r="A6" s="56">
        <v>1</v>
      </c>
      <c r="B6" s="56" t="s">
        <v>803</v>
      </c>
      <c r="C6" s="56" t="s">
        <v>804</v>
      </c>
      <c r="D6" s="56" t="s">
        <v>805</v>
      </c>
      <c r="E6" s="56" t="s">
        <v>806</v>
      </c>
      <c r="F6" s="56" t="s">
        <v>807</v>
      </c>
      <c r="G6" s="56" t="s">
        <v>808</v>
      </c>
      <c r="H6" s="56"/>
    </row>
    <row r="7" spans="1:8" ht="30" customHeight="1" x14ac:dyDescent="0.25">
      <c r="A7" s="56">
        <v>2</v>
      </c>
      <c r="B7" s="56" t="s">
        <v>383</v>
      </c>
      <c r="C7" s="56" t="s">
        <v>809</v>
      </c>
      <c r="D7" s="56" t="s">
        <v>810</v>
      </c>
      <c r="E7" s="56" t="s">
        <v>811</v>
      </c>
      <c r="F7" s="56" t="s">
        <v>807</v>
      </c>
      <c r="G7" s="56"/>
      <c r="H7" s="56" t="s">
        <v>808</v>
      </c>
    </row>
    <row r="8" spans="1:8" ht="30" customHeight="1" x14ac:dyDescent="0.25">
      <c r="A8" s="56">
        <v>3</v>
      </c>
      <c r="B8" s="56" t="s">
        <v>126</v>
      </c>
      <c r="C8" s="56" t="s">
        <v>812</v>
      </c>
      <c r="D8" s="56" t="s">
        <v>813</v>
      </c>
      <c r="E8" s="56" t="s">
        <v>128</v>
      </c>
      <c r="F8" s="56" t="s">
        <v>807</v>
      </c>
      <c r="G8" s="56" t="s">
        <v>808</v>
      </c>
      <c r="H8" s="56"/>
    </row>
    <row r="9" spans="1:8" x14ac:dyDescent="0.25">
      <c r="A9" s="56">
        <v>4</v>
      </c>
      <c r="B9" s="56" t="s">
        <v>132</v>
      </c>
      <c r="C9" s="56" t="s">
        <v>814</v>
      </c>
      <c r="D9" s="56" t="s">
        <v>805</v>
      </c>
      <c r="E9" s="56" t="s">
        <v>134</v>
      </c>
      <c r="F9" s="56" t="s">
        <v>815</v>
      </c>
      <c r="G9" s="56" t="s">
        <v>808</v>
      </c>
      <c r="H9" s="56"/>
    </row>
    <row r="10" spans="1:8" ht="30" customHeight="1" x14ac:dyDescent="0.25">
      <c r="A10" s="56">
        <v>5</v>
      </c>
      <c r="B10" s="56" t="s">
        <v>138</v>
      </c>
      <c r="C10" s="56" t="s">
        <v>816</v>
      </c>
      <c r="D10" s="56" t="s">
        <v>813</v>
      </c>
      <c r="E10" s="56" t="s">
        <v>817</v>
      </c>
      <c r="F10" s="56" t="s">
        <v>818</v>
      </c>
      <c r="G10" s="56" t="s">
        <v>808</v>
      </c>
      <c r="H10" s="56"/>
    </row>
    <row r="11" spans="1:8" ht="30" customHeight="1" x14ac:dyDescent="0.25">
      <c r="A11" s="56">
        <v>6</v>
      </c>
      <c r="B11" s="56" t="s">
        <v>819</v>
      </c>
      <c r="C11" s="56" t="s">
        <v>820</v>
      </c>
      <c r="D11" s="56" t="s">
        <v>805</v>
      </c>
      <c r="E11" s="56" t="s">
        <v>821</v>
      </c>
      <c r="F11" s="56" t="s">
        <v>818</v>
      </c>
      <c r="G11" s="56" t="s">
        <v>808</v>
      </c>
      <c r="H11" s="56"/>
    </row>
    <row r="12" spans="1:8" x14ac:dyDescent="0.25">
      <c r="A12" s="56">
        <v>7</v>
      </c>
      <c r="B12" s="56" t="s">
        <v>822</v>
      </c>
      <c r="C12" s="56" t="s">
        <v>812</v>
      </c>
      <c r="D12" s="56" t="s">
        <v>823</v>
      </c>
      <c r="E12" s="56" t="s">
        <v>824</v>
      </c>
      <c r="F12" s="56" t="s">
        <v>818</v>
      </c>
      <c r="G12" s="56" t="s">
        <v>808</v>
      </c>
      <c r="H12" s="56"/>
    </row>
    <row r="13" spans="1:8" x14ac:dyDescent="0.25">
      <c r="A13" s="56">
        <v>8</v>
      </c>
      <c r="B13" s="56" t="s">
        <v>156</v>
      </c>
      <c r="C13" s="56" t="s">
        <v>825</v>
      </c>
      <c r="D13" s="56" t="s">
        <v>826</v>
      </c>
      <c r="E13" s="56" t="s">
        <v>158</v>
      </c>
      <c r="F13" s="56" t="s">
        <v>818</v>
      </c>
      <c r="G13" s="56" t="s">
        <v>808</v>
      </c>
      <c r="H13" s="56"/>
    </row>
    <row r="14" spans="1:8" ht="30" customHeight="1" x14ac:dyDescent="0.25">
      <c r="A14" s="56">
        <v>9</v>
      </c>
      <c r="B14" s="56" t="s">
        <v>162</v>
      </c>
      <c r="C14" s="56" t="s">
        <v>827</v>
      </c>
      <c r="D14" s="56" t="s">
        <v>813</v>
      </c>
      <c r="E14" s="56" t="s">
        <v>828</v>
      </c>
      <c r="F14" s="56" t="s">
        <v>829</v>
      </c>
      <c r="G14" s="56" t="s">
        <v>808</v>
      </c>
      <c r="H14" s="56"/>
    </row>
    <row r="17" spans="1:4" ht="18.75" customHeight="1" x14ac:dyDescent="0.3">
      <c r="A17" s="54" t="s">
        <v>830</v>
      </c>
    </row>
    <row r="19" spans="1:4" ht="15.75" customHeight="1" x14ac:dyDescent="0.25">
      <c r="A19" s="57" t="s">
        <v>831</v>
      </c>
    </row>
    <row r="20" spans="1:4" x14ac:dyDescent="0.25">
      <c r="A20" s="58" t="s">
        <v>832</v>
      </c>
      <c r="B20" s="58" t="s">
        <v>833</v>
      </c>
      <c r="C20" s="58" t="s">
        <v>834</v>
      </c>
      <c r="D20" s="58" t="s">
        <v>835</v>
      </c>
    </row>
    <row r="21" spans="1:4" x14ac:dyDescent="0.25">
      <c r="A21" s="59" t="s">
        <v>836</v>
      </c>
      <c r="B21" s="59" t="s">
        <v>837</v>
      </c>
      <c r="C21" s="59" t="s">
        <v>827</v>
      </c>
      <c r="D21" s="59" t="s">
        <v>838</v>
      </c>
    </row>
    <row r="22" spans="1:4" x14ac:dyDescent="0.25">
      <c r="A22" s="59" t="s">
        <v>839</v>
      </c>
      <c r="B22" s="59" t="s">
        <v>840</v>
      </c>
      <c r="C22" s="59" t="s">
        <v>841</v>
      </c>
      <c r="D22" s="59" t="s">
        <v>842</v>
      </c>
    </row>
    <row r="23" spans="1:4" x14ac:dyDescent="0.25">
      <c r="A23" s="59" t="s">
        <v>843</v>
      </c>
      <c r="B23" s="59" t="s">
        <v>844</v>
      </c>
      <c r="C23" s="59" t="s">
        <v>845</v>
      </c>
      <c r="D23" s="59" t="s">
        <v>846</v>
      </c>
    </row>
    <row r="26" spans="1:4" ht="18.75" customHeight="1" x14ac:dyDescent="0.3">
      <c r="A26" s="54" t="s">
        <v>847</v>
      </c>
    </row>
    <row r="28" spans="1:4" x14ac:dyDescent="0.25">
      <c r="A28" s="58" t="s">
        <v>797</v>
      </c>
      <c r="B28" s="58" t="s">
        <v>848</v>
      </c>
      <c r="C28" s="58" t="s">
        <v>849</v>
      </c>
      <c r="D28" s="58" t="s">
        <v>850</v>
      </c>
    </row>
    <row r="29" spans="1:4" ht="45" customHeight="1" x14ac:dyDescent="0.25">
      <c r="A29" s="60" t="s">
        <v>4</v>
      </c>
      <c r="B29" s="60" t="s">
        <v>851</v>
      </c>
      <c r="C29" s="60" t="s">
        <v>852</v>
      </c>
      <c r="D29" s="60" t="s">
        <v>853</v>
      </c>
    </row>
    <row r="30" spans="1:4" ht="60" customHeight="1" x14ac:dyDescent="0.25">
      <c r="A30" s="60" t="s">
        <v>854</v>
      </c>
      <c r="B30" s="60" t="s">
        <v>855</v>
      </c>
      <c r="C30" s="60" t="s">
        <v>856</v>
      </c>
      <c r="D30" s="60" t="s">
        <v>857</v>
      </c>
    </row>
    <row r="31" spans="1:4" ht="60" customHeight="1" x14ac:dyDescent="0.25">
      <c r="A31" s="60" t="s">
        <v>156</v>
      </c>
      <c r="B31" s="60" t="s">
        <v>858</v>
      </c>
      <c r="C31" s="60" t="s">
        <v>859</v>
      </c>
      <c r="D31" s="60" t="s">
        <v>860</v>
      </c>
    </row>
    <row r="34" spans="1:4" ht="18.75" customHeight="1" x14ac:dyDescent="0.3">
      <c r="A34" s="54" t="s">
        <v>861</v>
      </c>
    </row>
    <row r="36" spans="1:4" x14ac:dyDescent="0.25">
      <c r="A36" s="58" t="s">
        <v>797</v>
      </c>
      <c r="B36" s="58" t="s">
        <v>862</v>
      </c>
      <c r="C36" s="58" t="s">
        <v>115</v>
      </c>
      <c r="D36" s="58" t="s">
        <v>863</v>
      </c>
    </row>
    <row r="37" spans="1:4" x14ac:dyDescent="0.25">
      <c r="A37" s="59" t="s">
        <v>4</v>
      </c>
      <c r="B37" s="59" t="s">
        <v>864</v>
      </c>
      <c r="C37" s="59" t="s">
        <v>865</v>
      </c>
      <c r="D37" s="59" t="s">
        <v>866</v>
      </c>
    </row>
    <row r="38" spans="1:4" x14ac:dyDescent="0.25">
      <c r="A38" s="59" t="s">
        <v>383</v>
      </c>
      <c r="B38" s="59" t="s">
        <v>867</v>
      </c>
      <c r="C38" s="59" t="s">
        <v>868</v>
      </c>
      <c r="D38" s="59" t="s">
        <v>869</v>
      </c>
    </row>
    <row r="39" spans="1:4" x14ac:dyDescent="0.25">
      <c r="A39" s="59" t="s">
        <v>126</v>
      </c>
      <c r="B39" s="59" t="s">
        <v>870</v>
      </c>
      <c r="C39" s="59" t="s">
        <v>871</v>
      </c>
      <c r="D39" s="59" t="s">
        <v>866</v>
      </c>
    </row>
    <row r="40" spans="1:4" x14ac:dyDescent="0.25">
      <c r="A40" s="59" t="s">
        <v>132</v>
      </c>
      <c r="B40" s="59" t="s">
        <v>872</v>
      </c>
      <c r="C40" s="59" t="s">
        <v>873</v>
      </c>
      <c r="D40" s="59" t="s">
        <v>866</v>
      </c>
    </row>
    <row r="41" spans="1:4" x14ac:dyDescent="0.25">
      <c r="A41" s="59" t="s">
        <v>138</v>
      </c>
      <c r="B41" s="59" t="s">
        <v>874</v>
      </c>
      <c r="C41" s="59" t="s">
        <v>875</v>
      </c>
      <c r="D41" s="59" t="s">
        <v>866</v>
      </c>
    </row>
    <row r="42" spans="1:4" x14ac:dyDescent="0.25">
      <c r="A42" s="59" t="s">
        <v>819</v>
      </c>
      <c r="B42" s="59" t="s">
        <v>876</v>
      </c>
      <c r="C42" s="59" t="s">
        <v>877</v>
      </c>
      <c r="D42" s="59" t="s">
        <v>869</v>
      </c>
    </row>
    <row r="43" spans="1:4" x14ac:dyDescent="0.25">
      <c r="A43" s="59" t="s">
        <v>822</v>
      </c>
      <c r="B43" s="59" t="s">
        <v>878</v>
      </c>
      <c r="C43" s="59" t="s">
        <v>879</v>
      </c>
      <c r="D43" s="59" t="s">
        <v>880</v>
      </c>
    </row>
    <row r="44" spans="1:4" x14ac:dyDescent="0.25">
      <c r="A44" s="59" t="s">
        <v>156</v>
      </c>
      <c r="B44" s="59" t="s">
        <v>881</v>
      </c>
      <c r="C44" s="59" t="s">
        <v>882</v>
      </c>
      <c r="D44" s="59" t="s">
        <v>883</v>
      </c>
    </row>
    <row r="45" spans="1:4" x14ac:dyDescent="0.25">
      <c r="A45" s="59" t="s">
        <v>162</v>
      </c>
      <c r="B45" s="59" t="s">
        <v>884</v>
      </c>
      <c r="C45" s="59" t="s">
        <v>885</v>
      </c>
      <c r="D45" s="59" t="s">
        <v>886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9"/>
  <sheetViews>
    <sheetView workbookViewId="0">
      <selection activeCell="E34" sqref="E34"/>
    </sheetView>
  </sheetViews>
  <sheetFormatPr defaultRowHeight="15" x14ac:dyDescent="0.25"/>
  <cols>
    <col min="1" max="1" width="58.28515625" bestFit="1" customWidth="1"/>
    <col min="2" max="2" width="25" customWidth="1"/>
    <col min="3" max="3" width="7.42578125" bestFit="1" customWidth="1"/>
    <col min="4" max="4" width="8.7109375" bestFit="1" customWidth="1"/>
    <col min="5" max="5" width="20.140625" bestFit="1" customWidth="1"/>
    <col min="6" max="15" width="12" customWidth="1"/>
  </cols>
  <sheetData>
    <row r="1" spans="1:5" ht="18.75" customHeight="1" x14ac:dyDescent="0.3">
      <c r="A1" s="54" t="s">
        <v>887</v>
      </c>
    </row>
    <row r="2" spans="1:5" x14ac:dyDescent="0.25">
      <c r="A2" t="s">
        <v>888</v>
      </c>
    </row>
    <row r="3" spans="1:5" x14ac:dyDescent="0.25">
      <c r="A3" t="s">
        <v>889</v>
      </c>
    </row>
    <row r="5" spans="1:5" x14ac:dyDescent="0.25">
      <c r="A5" s="63" t="s">
        <v>890</v>
      </c>
    </row>
    <row r="6" spans="1:5" x14ac:dyDescent="0.25">
      <c r="A6" s="64" t="s">
        <v>216</v>
      </c>
      <c r="B6" s="64" t="s">
        <v>891</v>
      </c>
      <c r="C6" s="64" t="s">
        <v>218</v>
      </c>
      <c r="D6" s="64" t="s">
        <v>63</v>
      </c>
      <c r="E6" s="64" t="s">
        <v>64</v>
      </c>
    </row>
    <row r="7" spans="1:5" ht="45" customHeight="1" x14ac:dyDescent="0.25">
      <c r="A7" s="60" t="s">
        <v>344</v>
      </c>
      <c r="B7" s="60" t="s">
        <v>892</v>
      </c>
      <c r="C7" s="65">
        <f>Assumptions!B217</f>
        <v>3500</v>
      </c>
      <c r="D7" s="60" t="s">
        <v>85</v>
      </c>
      <c r="E7" s="60" t="s">
        <v>893</v>
      </c>
    </row>
    <row r="8" spans="1:5" ht="60" customHeight="1" x14ac:dyDescent="0.25">
      <c r="A8" s="60" t="s">
        <v>344</v>
      </c>
      <c r="B8" s="60" t="s">
        <v>894</v>
      </c>
      <c r="C8" s="65">
        <f>Assumptions!B218</f>
        <v>50000</v>
      </c>
      <c r="D8" s="60" t="s">
        <v>317</v>
      </c>
      <c r="E8" s="60" t="s">
        <v>895</v>
      </c>
    </row>
    <row r="9" spans="1:5" ht="45" customHeight="1" x14ac:dyDescent="0.25">
      <c r="A9" s="60" t="s">
        <v>344</v>
      </c>
      <c r="B9" s="60" t="s">
        <v>896</v>
      </c>
      <c r="C9" s="65">
        <v>0.12</v>
      </c>
      <c r="D9" s="60" t="s">
        <v>69</v>
      </c>
      <c r="E9" s="60" t="s">
        <v>897</v>
      </c>
    </row>
    <row r="10" spans="1:5" ht="30" customHeight="1" x14ac:dyDescent="0.25">
      <c r="A10" s="60" t="s">
        <v>344</v>
      </c>
      <c r="B10" s="60" t="s">
        <v>898</v>
      </c>
      <c r="C10" s="65">
        <v>3</v>
      </c>
      <c r="D10" s="60" t="s">
        <v>332</v>
      </c>
      <c r="E10" s="60" t="s">
        <v>899</v>
      </c>
    </row>
    <row r="11" spans="1:5" ht="30" customHeight="1" x14ac:dyDescent="0.25">
      <c r="A11" s="60" t="s">
        <v>344</v>
      </c>
      <c r="B11" s="60" t="s">
        <v>900</v>
      </c>
      <c r="C11" s="65">
        <v>15</v>
      </c>
      <c r="D11" s="60" t="s">
        <v>302</v>
      </c>
      <c r="E11" s="60" t="s">
        <v>901</v>
      </c>
    </row>
    <row r="12" spans="1:5" x14ac:dyDescent="0.25">
      <c r="A12" s="60" t="s">
        <v>344</v>
      </c>
      <c r="B12" s="60" t="s">
        <v>902</v>
      </c>
      <c r="C12" s="65">
        <v>20</v>
      </c>
      <c r="D12" s="60" t="s">
        <v>903</v>
      </c>
      <c r="E12" s="60" t="s">
        <v>904</v>
      </c>
    </row>
    <row r="13" spans="1:5" ht="30" customHeight="1" x14ac:dyDescent="0.25">
      <c r="A13" s="60" t="s">
        <v>344</v>
      </c>
      <c r="B13" s="60" t="s">
        <v>905</v>
      </c>
      <c r="C13" s="65">
        <v>7</v>
      </c>
      <c r="D13" s="60" t="s">
        <v>332</v>
      </c>
      <c r="E13" s="60" t="s">
        <v>906</v>
      </c>
    </row>
    <row r="14" spans="1:5" ht="45" customHeight="1" x14ac:dyDescent="0.25">
      <c r="A14" s="60" t="s">
        <v>344</v>
      </c>
      <c r="B14" s="60" t="s">
        <v>907</v>
      </c>
      <c r="C14" s="65">
        <v>85</v>
      </c>
      <c r="D14" s="60" t="s">
        <v>302</v>
      </c>
      <c r="E14" s="60" t="s">
        <v>908</v>
      </c>
    </row>
    <row r="15" spans="1:5" ht="45" customHeight="1" x14ac:dyDescent="0.25">
      <c r="A15" s="60" t="s">
        <v>344</v>
      </c>
      <c r="B15" s="60" t="s">
        <v>909</v>
      </c>
      <c r="C15" s="65">
        <v>40</v>
      </c>
      <c r="D15" s="60" t="s">
        <v>903</v>
      </c>
      <c r="E15" s="60" t="s">
        <v>910</v>
      </c>
    </row>
    <row r="16" spans="1:5" ht="45" customHeight="1" x14ac:dyDescent="0.25">
      <c r="A16" s="60" t="s">
        <v>341</v>
      </c>
      <c r="B16" s="60" t="s">
        <v>911</v>
      </c>
      <c r="C16" s="65">
        <f>Assumptions!B219</f>
        <v>1200</v>
      </c>
      <c r="D16" s="60" t="s">
        <v>85</v>
      </c>
      <c r="E16" s="60" t="s">
        <v>912</v>
      </c>
    </row>
    <row r="17" spans="1:15" ht="45" customHeight="1" x14ac:dyDescent="0.25">
      <c r="A17" s="60" t="s">
        <v>341</v>
      </c>
      <c r="B17" s="60" t="s">
        <v>913</v>
      </c>
      <c r="C17" s="65">
        <v>250</v>
      </c>
      <c r="D17" s="60" t="s">
        <v>85</v>
      </c>
      <c r="E17" s="60" t="s">
        <v>914</v>
      </c>
    </row>
    <row r="18" spans="1:15" ht="45" customHeight="1" x14ac:dyDescent="0.25">
      <c r="A18" s="60" t="s">
        <v>341</v>
      </c>
      <c r="B18" s="60" t="s">
        <v>915</v>
      </c>
      <c r="C18" s="65">
        <v>400</v>
      </c>
      <c r="D18" s="60" t="s">
        <v>85</v>
      </c>
      <c r="E18" s="60" t="s">
        <v>916</v>
      </c>
    </row>
    <row r="19" spans="1:15" ht="60" customHeight="1" x14ac:dyDescent="0.25">
      <c r="A19" s="60" t="s">
        <v>345</v>
      </c>
      <c r="B19" s="60" t="s">
        <v>365</v>
      </c>
      <c r="C19" s="65">
        <f>Assumptions!B202</f>
        <v>5000</v>
      </c>
      <c r="D19" s="60" t="s">
        <v>85</v>
      </c>
      <c r="E19" s="60" t="s">
        <v>917</v>
      </c>
    </row>
    <row r="20" spans="1:15" ht="30" customHeight="1" x14ac:dyDescent="0.25">
      <c r="A20" s="60" t="s">
        <v>345</v>
      </c>
      <c r="B20" s="60" t="s">
        <v>369</v>
      </c>
      <c r="C20" s="65">
        <f>Assumptions!B220</f>
        <v>3000</v>
      </c>
      <c r="D20" s="60" t="s">
        <v>85</v>
      </c>
      <c r="E20" s="60" t="s">
        <v>918</v>
      </c>
    </row>
    <row r="21" spans="1:15" ht="30" customHeight="1" x14ac:dyDescent="0.25">
      <c r="A21" s="60" t="s">
        <v>351</v>
      </c>
      <c r="B21" s="60" t="s">
        <v>919</v>
      </c>
      <c r="C21" s="65">
        <v>650</v>
      </c>
      <c r="D21" s="60" t="s">
        <v>85</v>
      </c>
      <c r="E21" s="60" t="s">
        <v>920</v>
      </c>
    </row>
    <row r="22" spans="1:15" ht="45" customHeight="1" x14ac:dyDescent="0.25">
      <c r="A22" s="60" t="s">
        <v>351</v>
      </c>
      <c r="B22" s="60" t="s">
        <v>921</v>
      </c>
      <c r="C22" s="65">
        <v>500</v>
      </c>
      <c r="D22" s="60" t="s">
        <v>85</v>
      </c>
      <c r="E22" s="60" t="s">
        <v>922</v>
      </c>
    </row>
    <row r="23" spans="1:15" ht="30" customHeight="1" x14ac:dyDescent="0.25">
      <c r="A23" s="60" t="s">
        <v>351</v>
      </c>
      <c r="B23" s="60" t="s">
        <v>324</v>
      </c>
      <c r="C23" s="65">
        <v>99</v>
      </c>
      <c r="D23" s="60" t="s">
        <v>85</v>
      </c>
      <c r="E23" s="60" t="s">
        <v>923</v>
      </c>
    </row>
    <row r="24" spans="1:15" x14ac:dyDescent="0.25">
      <c r="A24" s="60" t="s">
        <v>351</v>
      </c>
      <c r="B24" s="60" t="s">
        <v>326</v>
      </c>
      <c r="C24" s="65">
        <v>30</v>
      </c>
      <c r="D24" s="60" t="s">
        <v>85</v>
      </c>
      <c r="E24" s="60" t="s">
        <v>924</v>
      </c>
    </row>
    <row r="25" spans="1:15" ht="30" customHeight="1" x14ac:dyDescent="0.25">
      <c r="A25" s="60" t="s">
        <v>351</v>
      </c>
      <c r="B25" s="60" t="s">
        <v>328</v>
      </c>
      <c r="C25" s="65">
        <v>25</v>
      </c>
      <c r="D25" s="60" t="s">
        <v>85</v>
      </c>
      <c r="E25" s="60" t="s">
        <v>925</v>
      </c>
    </row>
    <row r="26" spans="1:15" ht="45" customHeight="1" x14ac:dyDescent="0.25">
      <c r="A26" s="60" t="s">
        <v>351</v>
      </c>
      <c r="B26" s="60" t="s">
        <v>926</v>
      </c>
      <c r="C26" s="65">
        <v>400</v>
      </c>
      <c r="D26" s="60" t="s">
        <v>85</v>
      </c>
      <c r="E26" s="60" t="s">
        <v>305</v>
      </c>
    </row>
    <row r="27" spans="1:15" ht="60" customHeight="1" x14ac:dyDescent="0.25">
      <c r="A27" s="60" t="s">
        <v>351</v>
      </c>
      <c r="B27" s="60" t="s">
        <v>927</v>
      </c>
      <c r="C27" s="65">
        <v>0.153</v>
      </c>
      <c r="D27" s="60" t="s">
        <v>69</v>
      </c>
      <c r="E27" s="60" t="s">
        <v>928</v>
      </c>
    </row>
    <row r="30" spans="1:15" ht="18.75" customHeight="1" x14ac:dyDescent="0.3">
      <c r="A30" s="54" t="s">
        <v>929</v>
      </c>
    </row>
    <row r="32" spans="1:15" x14ac:dyDescent="0.25">
      <c r="A32" s="64" t="s">
        <v>216</v>
      </c>
      <c r="B32" s="64" t="s">
        <v>930</v>
      </c>
      <c r="C32" s="66" t="s">
        <v>13</v>
      </c>
      <c r="D32" s="66" t="s">
        <v>14</v>
      </c>
      <c r="E32" s="66" t="s">
        <v>15</v>
      </c>
      <c r="F32" s="66" t="s">
        <v>16</v>
      </c>
      <c r="G32" s="66" t="s">
        <v>17</v>
      </c>
      <c r="H32" s="66" t="s">
        <v>18</v>
      </c>
      <c r="I32" s="66" t="s">
        <v>19</v>
      </c>
      <c r="J32" s="66" t="s">
        <v>20</v>
      </c>
      <c r="K32" s="66" t="s">
        <v>21</v>
      </c>
      <c r="L32" s="66" t="s">
        <v>22</v>
      </c>
      <c r="M32" s="66" t="s">
        <v>23</v>
      </c>
      <c r="N32" s="66" t="s">
        <v>24</v>
      </c>
      <c r="O32" s="64" t="s">
        <v>931</v>
      </c>
    </row>
    <row r="33" spans="1:15" x14ac:dyDescent="0.25">
      <c r="A33" s="59" t="s">
        <v>344</v>
      </c>
      <c r="B33" s="59" t="s">
        <v>932</v>
      </c>
      <c r="C33" s="67">
        <f t="shared" ref="C33:N33" si="0">$C$7</f>
        <v>3500</v>
      </c>
      <c r="D33" s="67">
        <f t="shared" si="0"/>
        <v>3500</v>
      </c>
      <c r="E33" s="67">
        <f t="shared" si="0"/>
        <v>3500</v>
      </c>
      <c r="F33" s="67">
        <f t="shared" si="0"/>
        <v>3500</v>
      </c>
      <c r="G33" s="67">
        <f t="shared" si="0"/>
        <v>3500</v>
      </c>
      <c r="H33" s="67">
        <f t="shared" si="0"/>
        <v>3500</v>
      </c>
      <c r="I33" s="67">
        <f t="shared" si="0"/>
        <v>3500</v>
      </c>
      <c r="J33" s="67">
        <f t="shared" si="0"/>
        <v>3500</v>
      </c>
      <c r="K33" s="67">
        <f t="shared" si="0"/>
        <v>3500</v>
      </c>
      <c r="L33" s="67">
        <f t="shared" si="0"/>
        <v>3500</v>
      </c>
      <c r="M33" s="67">
        <f t="shared" si="0"/>
        <v>3500</v>
      </c>
      <c r="N33" s="67">
        <f t="shared" si="0"/>
        <v>3500</v>
      </c>
      <c r="O33" s="68">
        <f t="shared" ref="O33:O49" si="1">SUM(C33:N33)</f>
        <v>42000</v>
      </c>
    </row>
    <row r="34" spans="1:15" x14ac:dyDescent="0.25">
      <c r="A34" s="59" t="s">
        <v>344</v>
      </c>
      <c r="B34" s="59" t="s">
        <v>933</v>
      </c>
      <c r="C34" s="67">
        <f t="shared" ref="C34:N34" si="2">IFERROR(IF(COLUMN()-2&gt;=$C$10,$C$8/12,0), 0)</f>
        <v>0</v>
      </c>
      <c r="D34" s="67">
        <f t="shared" si="2"/>
        <v>0</v>
      </c>
      <c r="E34" s="67">
        <f t="shared" si="2"/>
        <v>4166.666666666667</v>
      </c>
      <c r="F34" s="67">
        <f t="shared" si="2"/>
        <v>4166.666666666667</v>
      </c>
      <c r="G34" s="67">
        <f t="shared" si="2"/>
        <v>4166.666666666667</v>
      </c>
      <c r="H34" s="67">
        <f t="shared" si="2"/>
        <v>4166.666666666667</v>
      </c>
      <c r="I34" s="67">
        <f t="shared" si="2"/>
        <v>4166.666666666667</v>
      </c>
      <c r="J34" s="67">
        <f t="shared" si="2"/>
        <v>4166.666666666667</v>
      </c>
      <c r="K34" s="67">
        <f t="shared" si="2"/>
        <v>4166.666666666667</v>
      </c>
      <c r="L34" s="67">
        <f t="shared" si="2"/>
        <v>4166.666666666667</v>
      </c>
      <c r="M34" s="67">
        <f t="shared" si="2"/>
        <v>4166.666666666667</v>
      </c>
      <c r="N34" s="67">
        <f t="shared" si="2"/>
        <v>4166.666666666667</v>
      </c>
      <c r="O34" s="68">
        <f t="shared" si="1"/>
        <v>41666.666666666664</v>
      </c>
    </row>
    <row r="35" spans="1:15" x14ac:dyDescent="0.25">
      <c r="A35" s="59" t="s">
        <v>344</v>
      </c>
      <c r="B35" s="59" t="s">
        <v>934</v>
      </c>
      <c r="C35" s="67">
        <f>0</f>
        <v>0</v>
      </c>
      <c r="D35" s="67">
        <f>0</f>
        <v>0</v>
      </c>
      <c r="E35" s="67">
        <f>0</f>
        <v>0</v>
      </c>
      <c r="F35" s="67">
        <f>0</f>
        <v>0</v>
      </c>
      <c r="G35" s="67">
        <f>0</f>
        <v>0</v>
      </c>
      <c r="H35" s="67">
        <f>0</f>
        <v>0</v>
      </c>
      <c r="I35" s="67">
        <f>0</f>
        <v>0</v>
      </c>
      <c r="J35" s="67">
        <f>0</f>
        <v>0</v>
      </c>
      <c r="K35" s="67">
        <f>0</f>
        <v>0</v>
      </c>
      <c r="L35" s="67">
        <f>0</f>
        <v>0</v>
      </c>
      <c r="M35" s="67">
        <f>0</f>
        <v>0</v>
      </c>
      <c r="N35" s="67">
        <f>0</f>
        <v>0</v>
      </c>
      <c r="O35" s="68">
        <f t="shared" si="1"/>
        <v>0</v>
      </c>
    </row>
    <row r="36" spans="1:15" x14ac:dyDescent="0.25">
      <c r="A36" s="59" t="s">
        <v>344</v>
      </c>
      <c r="B36" s="59" t="s">
        <v>935</v>
      </c>
      <c r="C36" s="67">
        <f t="shared" ref="C36:N36" si="3">IF(COLUMN()-2&gt;=$C$13,$C$11*$C$12*4,0)</f>
        <v>0</v>
      </c>
      <c r="D36" s="67">
        <f t="shared" si="3"/>
        <v>0</v>
      </c>
      <c r="E36" s="67">
        <f t="shared" si="3"/>
        <v>0</v>
      </c>
      <c r="F36" s="67">
        <f t="shared" si="3"/>
        <v>0</v>
      </c>
      <c r="G36" s="67">
        <f t="shared" si="3"/>
        <v>0</v>
      </c>
      <c r="H36" s="67">
        <f t="shared" si="3"/>
        <v>0</v>
      </c>
      <c r="I36" s="67">
        <f t="shared" si="3"/>
        <v>1200</v>
      </c>
      <c r="J36" s="67">
        <f t="shared" si="3"/>
        <v>1200</v>
      </c>
      <c r="K36" s="67">
        <f t="shared" si="3"/>
        <v>1200</v>
      </c>
      <c r="L36" s="67">
        <f t="shared" si="3"/>
        <v>1200</v>
      </c>
      <c r="M36" s="67">
        <f t="shared" si="3"/>
        <v>1200</v>
      </c>
      <c r="N36" s="67">
        <f t="shared" si="3"/>
        <v>1200</v>
      </c>
      <c r="O36" s="68">
        <f t="shared" si="1"/>
        <v>7200</v>
      </c>
    </row>
    <row r="37" spans="1:15" x14ac:dyDescent="0.25">
      <c r="A37" s="59" t="s">
        <v>344</v>
      </c>
      <c r="B37" s="59" t="s">
        <v>936</v>
      </c>
      <c r="C37" s="67">
        <f t="shared" ref="C37:N37" si="4">$C$14*$C$15</f>
        <v>3400</v>
      </c>
      <c r="D37" s="67">
        <f t="shared" si="4"/>
        <v>3400</v>
      </c>
      <c r="E37" s="67">
        <f t="shared" si="4"/>
        <v>3400</v>
      </c>
      <c r="F37" s="67">
        <f t="shared" si="4"/>
        <v>3400</v>
      </c>
      <c r="G37" s="67">
        <f t="shared" si="4"/>
        <v>3400</v>
      </c>
      <c r="H37" s="67">
        <f t="shared" si="4"/>
        <v>3400</v>
      </c>
      <c r="I37" s="67">
        <f t="shared" si="4"/>
        <v>3400</v>
      </c>
      <c r="J37" s="67">
        <f t="shared" si="4"/>
        <v>3400</v>
      </c>
      <c r="K37" s="67">
        <f t="shared" si="4"/>
        <v>3400</v>
      </c>
      <c r="L37" s="67">
        <f t="shared" si="4"/>
        <v>3400</v>
      </c>
      <c r="M37" s="67">
        <f t="shared" si="4"/>
        <v>3400</v>
      </c>
      <c r="N37" s="67">
        <f t="shared" si="4"/>
        <v>3400</v>
      </c>
      <c r="O37" s="68">
        <f t="shared" si="1"/>
        <v>40800</v>
      </c>
    </row>
    <row r="38" spans="1:15" x14ac:dyDescent="0.25">
      <c r="A38" s="59" t="s">
        <v>344</v>
      </c>
      <c r="B38" s="59" t="s">
        <v>937</v>
      </c>
      <c r="C38" s="67">
        <f t="shared" ref="C38:N38" si="5">(C33+C34+C36)*$C$27</f>
        <v>535.5</v>
      </c>
      <c r="D38" s="67">
        <f t="shared" si="5"/>
        <v>535.5</v>
      </c>
      <c r="E38" s="67">
        <f t="shared" si="5"/>
        <v>1173</v>
      </c>
      <c r="F38" s="67">
        <f t="shared" si="5"/>
        <v>1173</v>
      </c>
      <c r="G38" s="67">
        <f t="shared" si="5"/>
        <v>1173</v>
      </c>
      <c r="H38" s="67">
        <f t="shared" si="5"/>
        <v>1173</v>
      </c>
      <c r="I38" s="67">
        <f t="shared" si="5"/>
        <v>1356.6000000000001</v>
      </c>
      <c r="J38" s="67">
        <f t="shared" si="5"/>
        <v>1356.6000000000001</v>
      </c>
      <c r="K38" s="67">
        <f t="shared" si="5"/>
        <v>1356.6000000000001</v>
      </c>
      <c r="L38" s="67">
        <f t="shared" si="5"/>
        <v>1356.6000000000001</v>
      </c>
      <c r="M38" s="67">
        <f t="shared" si="5"/>
        <v>1356.6000000000001</v>
      </c>
      <c r="N38" s="67">
        <f t="shared" si="5"/>
        <v>1356.6000000000001</v>
      </c>
      <c r="O38" s="68">
        <f t="shared" si="1"/>
        <v>13902.600000000002</v>
      </c>
    </row>
    <row r="39" spans="1:15" x14ac:dyDescent="0.25">
      <c r="A39" s="59" t="s">
        <v>341</v>
      </c>
      <c r="B39" s="59" t="s">
        <v>911</v>
      </c>
      <c r="C39" s="67">
        <f t="shared" ref="C39:N39" si="6">$C$16</f>
        <v>1200</v>
      </c>
      <c r="D39" s="67">
        <f t="shared" si="6"/>
        <v>1200</v>
      </c>
      <c r="E39" s="67">
        <f t="shared" si="6"/>
        <v>1200</v>
      </c>
      <c r="F39" s="67">
        <f t="shared" si="6"/>
        <v>1200</v>
      </c>
      <c r="G39" s="67">
        <f t="shared" si="6"/>
        <v>1200</v>
      </c>
      <c r="H39" s="67">
        <f t="shared" si="6"/>
        <v>1200</v>
      </c>
      <c r="I39" s="67">
        <f t="shared" si="6"/>
        <v>1200</v>
      </c>
      <c r="J39" s="67">
        <f t="shared" si="6"/>
        <v>1200</v>
      </c>
      <c r="K39" s="67">
        <f t="shared" si="6"/>
        <v>1200</v>
      </c>
      <c r="L39" s="67">
        <f t="shared" si="6"/>
        <v>1200</v>
      </c>
      <c r="M39" s="67">
        <f t="shared" si="6"/>
        <v>1200</v>
      </c>
      <c r="N39" s="67">
        <f t="shared" si="6"/>
        <v>1200</v>
      </c>
      <c r="O39" s="68">
        <f t="shared" si="1"/>
        <v>14400</v>
      </c>
    </row>
    <row r="40" spans="1:15" x14ac:dyDescent="0.25">
      <c r="A40" s="59" t="s">
        <v>341</v>
      </c>
      <c r="B40" s="59" t="s">
        <v>913</v>
      </c>
      <c r="C40" s="67">
        <f t="shared" ref="C40:N40" si="7">$C$17</f>
        <v>250</v>
      </c>
      <c r="D40" s="67">
        <f t="shared" si="7"/>
        <v>250</v>
      </c>
      <c r="E40" s="67">
        <f t="shared" si="7"/>
        <v>250</v>
      </c>
      <c r="F40" s="67">
        <f t="shared" si="7"/>
        <v>250</v>
      </c>
      <c r="G40" s="67">
        <f t="shared" si="7"/>
        <v>250</v>
      </c>
      <c r="H40" s="67">
        <f t="shared" si="7"/>
        <v>250</v>
      </c>
      <c r="I40" s="67">
        <f t="shared" si="7"/>
        <v>250</v>
      </c>
      <c r="J40" s="67">
        <f t="shared" si="7"/>
        <v>250</v>
      </c>
      <c r="K40" s="67">
        <f t="shared" si="7"/>
        <v>250</v>
      </c>
      <c r="L40" s="67">
        <f t="shared" si="7"/>
        <v>250</v>
      </c>
      <c r="M40" s="67">
        <f t="shared" si="7"/>
        <v>250</v>
      </c>
      <c r="N40" s="67">
        <f t="shared" si="7"/>
        <v>250</v>
      </c>
      <c r="O40" s="68">
        <f t="shared" si="1"/>
        <v>3000</v>
      </c>
    </row>
    <row r="41" spans="1:15" x14ac:dyDescent="0.25">
      <c r="A41" s="59" t="s">
        <v>341</v>
      </c>
      <c r="B41" s="59" t="s">
        <v>915</v>
      </c>
      <c r="C41" s="67">
        <f t="shared" ref="C41:N41" si="8">$C$18</f>
        <v>400</v>
      </c>
      <c r="D41" s="67">
        <f t="shared" si="8"/>
        <v>400</v>
      </c>
      <c r="E41" s="67">
        <f t="shared" si="8"/>
        <v>400</v>
      </c>
      <c r="F41" s="67">
        <f t="shared" si="8"/>
        <v>400</v>
      </c>
      <c r="G41" s="67">
        <f t="shared" si="8"/>
        <v>400</v>
      </c>
      <c r="H41" s="67">
        <f t="shared" si="8"/>
        <v>400</v>
      </c>
      <c r="I41" s="67">
        <f t="shared" si="8"/>
        <v>400</v>
      </c>
      <c r="J41" s="67">
        <f t="shared" si="8"/>
        <v>400</v>
      </c>
      <c r="K41" s="67">
        <f t="shared" si="8"/>
        <v>400</v>
      </c>
      <c r="L41" s="67">
        <f t="shared" si="8"/>
        <v>400</v>
      </c>
      <c r="M41" s="67">
        <f t="shared" si="8"/>
        <v>400</v>
      </c>
      <c r="N41" s="67">
        <f t="shared" si="8"/>
        <v>400</v>
      </c>
      <c r="O41" s="68">
        <f t="shared" si="1"/>
        <v>4800</v>
      </c>
    </row>
    <row r="42" spans="1:15" x14ac:dyDescent="0.25">
      <c r="A42" s="59" t="s">
        <v>345</v>
      </c>
      <c r="B42" s="59" t="s">
        <v>365</v>
      </c>
      <c r="C42" s="67">
        <f t="shared" ref="C42:N42" si="9">$C$19</f>
        <v>5000</v>
      </c>
      <c r="D42" s="67">
        <f t="shared" si="9"/>
        <v>5000</v>
      </c>
      <c r="E42" s="67">
        <f t="shared" si="9"/>
        <v>5000</v>
      </c>
      <c r="F42" s="67">
        <f t="shared" si="9"/>
        <v>5000</v>
      </c>
      <c r="G42" s="67">
        <f t="shared" si="9"/>
        <v>5000</v>
      </c>
      <c r="H42" s="67">
        <f t="shared" si="9"/>
        <v>5000</v>
      </c>
      <c r="I42" s="67">
        <f t="shared" si="9"/>
        <v>5000</v>
      </c>
      <c r="J42" s="67">
        <f t="shared" si="9"/>
        <v>5000</v>
      </c>
      <c r="K42" s="67">
        <f t="shared" si="9"/>
        <v>5000</v>
      </c>
      <c r="L42" s="67">
        <f t="shared" si="9"/>
        <v>5000</v>
      </c>
      <c r="M42" s="67">
        <f t="shared" si="9"/>
        <v>5000</v>
      </c>
      <c r="N42" s="67">
        <f t="shared" si="9"/>
        <v>5000</v>
      </c>
      <c r="O42" s="68">
        <f t="shared" si="1"/>
        <v>60000</v>
      </c>
    </row>
    <row r="43" spans="1:15" x14ac:dyDescent="0.25">
      <c r="A43" s="59" t="s">
        <v>345</v>
      </c>
      <c r="B43" s="59" t="s">
        <v>369</v>
      </c>
      <c r="C43" s="67">
        <f t="shared" ref="C43:N43" si="10">$C$20</f>
        <v>3000</v>
      </c>
      <c r="D43" s="67">
        <f t="shared" si="10"/>
        <v>3000</v>
      </c>
      <c r="E43" s="67">
        <f t="shared" si="10"/>
        <v>3000</v>
      </c>
      <c r="F43" s="67">
        <f t="shared" si="10"/>
        <v>3000</v>
      </c>
      <c r="G43" s="67">
        <f t="shared" si="10"/>
        <v>3000</v>
      </c>
      <c r="H43" s="67">
        <f t="shared" si="10"/>
        <v>3000</v>
      </c>
      <c r="I43" s="67">
        <f t="shared" si="10"/>
        <v>3000</v>
      </c>
      <c r="J43" s="67">
        <f t="shared" si="10"/>
        <v>3000</v>
      </c>
      <c r="K43" s="67">
        <f t="shared" si="10"/>
        <v>3000</v>
      </c>
      <c r="L43" s="67">
        <f t="shared" si="10"/>
        <v>3000</v>
      </c>
      <c r="M43" s="67">
        <f t="shared" si="10"/>
        <v>3000</v>
      </c>
      <c r="N43" s="67">
        <f t="shared" si="10"/>
        <v>3000</v>
      </c>
      <c r="O43" s="68">
        <f t="shared" si="1"/>
        <v>36000</v>
      </c>
    </row>
    <row r="44" spans="1:15" x14ac:dyDescent="0.25">
      <c r="A44" s="59" t="s">
        <v>351</v>
      </c>
      <c r="B44" s="59" t="s">
        <v>919</v>
      </c>
      <c r="C44" s="67">
        <f t="shared" ref="C44:N44" si="11">$C$21</f>
        <v>650</v>
      </c>
      <c r="D44" s="67">
        <f t="shared" si="11"/>
        <v>650</v>
      </c>
      <c r="E44" s="67">
        <f t="shared" si="11"/>
        <v>650</v>
      </c>
      <c r="F44" s="67">
        <f t="shared" si="11"/>
        <v>650</v>
      </c>
      <c r="G44" s="67">
        <f t="shared" si="11"/>
        <v>650</v>
      </c>
      <c r="H44" s="67">
        <f t="shared" si="11"/>
        <v>650</v>
      </c>
      <c r="I44" s="67">
        <f t="shared" si="11"/>
        <v>650</v>
      </c>
      <c r="J44" s="67">
        <f t="shared" si="11"/>
        <v>650</v>
      </c>
      <c r="K44" s="67">
        <f t="shared" si="11"/>
        <v>650</v>
      </c>
      <c r="L44" s="67">
        <f t="shared" si="11"/>
        <v>650</v>
      </c>
      <c r="M44" s="67">
        <f t="shared" si="11"/>
        <v>650</v>
      </c>
      <c r="N44" s="67">
        <f t="shared" si="11"/>
        <v>650</v>
      </c>
      <c r="O44" s="68">
        <f t="shared" si="1"/>
        <v>7800</v>
      </c>
    </row>
    <row r="45" spans="1:15" x14ac:dyDescent="0.25">
      <c r="A45" s="59" t="s">
        <v>351</v>
      </c>
      <c r="B45" s="59" t="s">
        <v>921</v>
      </c>
      <c r="C45" s="67">
        <f t="shared" ref="C45:N45" si="12">$C$22</f>
        <v>500</v>
      </c>
      <c r="D45" s="67">
        <f t="shared" si="12"/>
        <v>500</v>
      </c>
      <c r="E45" s="67">
        <f t="shared" si="12"/>
        <v>500</v>
      </c>
      <c r="F45" s="67">
        <f t="shared" si="12"/>
        <v>500</v>
      </c>
      <c r="G45" s="67">
        <f t="shared" si="12"/>
        <v>500</v>
      </c>
      <c r="H45" s="67">
        <f t="shared" si="12"/>
        <v>500</v>
      </c>
      <c r="I45" s="67">
        <f t="shared" si="12"/>
        <v>500</v>
      </c>
      <c r="J45" s="67">
        <f t="shared" si="12"/>
        <v>500</v>
      </c>
      <c r="K45" s="67">
        <f t="shared" si="12"/>
        <v>500</v>
      </c>
      <c r="L45" s="67">
        <f t="shared" si="12"/>
        <v>500</v>
      </c>
      <c r="M45" s="67">
        <f t="shared" si="12"/>
        <v>500</v>
      </c>
      <c r="N45" s="67">
        <f t="shared" si="12"/>
        <v>500</v>
      </c>
      <c r="O45" s="68">
        <f t="shared" si="1"/>
        <v>6000</v>
      </c>
    </row>
    <row r="46" spans="1:15" x14ac:dyDescent="0.25">
      <c r="A46" s="59" t="s">
        <v>351</v>
      </c>
      <c r="B46" s="59" t="s">
        <v>324</v>
      </c>
      <c r="C46" s="67">
        <f t="shared" ref="C46:N46" si="13">$C$23</f>
        <v>99</v>
      </c>
      <c r="D46" s="67">
        <f t="shared" si="13"/>
        <v>99</v>
      </c>
      <c r="E46" s="67">
        <f t="shared" si="13"/>
        <v>99</v>
      </c>
      <c r="F46" s="67">
        <f t="shared" si="13"/>
        <v>99</v>
      </c>
      <c r="G46" s="67">
        <f t="shared" si="13"/>
        <v>99</v>
      </c>
      <c r="H46" s="67">
        <f t="shared" si="13"/>
        <v>99</v>
      </c>
      <c r="I46" s="67">
        <f t="shared" si="13"/>
        <v>99</v>
      </c>
      <c r="J46" s="67">
        <f t="shared" si="13"/>
        <v>99</v>
      </c>
      <c r="K46" s="67">
        <f t="shared" si="13"/>
        <v>99</v>
      </c>
      <c r="L46" s="67">
        <f t="shared" si="13"/>
        <v>99</v>
      </c>
      <c r="M46" s="67">
        <f t="shared" si="13"/>
        <v>99</v>
      </c>
      <c r="N46" s="67">
        <f t="shared" si="13"/>
        <v>99</v>
      </c>
      <c r="O46" s="68">
        <f t="shared" si="1"/>
        <v>1188</v>
      </c>
    </row>
    <row r="47" spans="1:15" x14ac:dyDescent="0.25">
      <c r="A47" s="59" t="s">
        <v>351</v>
      </c>
      <c r="B47" s="59" t="s">
        <v>326</v>
      </c>
      <c r="C47" s="67">
        <f t="shared" ref="C47:N47" si="14">$C$24</f>
        <v>30</v>
      </c>
      <c r="D47" s="67">
        <f t="shared" si="14"/>
        <v>30</v>
      </c>
      <c r="E47" s="67">
        <f t="shared" si="14"/>
        <v>30</v>
      </c>
      <c r="F47" s="67">
        <f t="shared" si="14"/>
        <v>30</v>
      </c>
      <c r="G47" s="67">
        <f t="shared" si="14"/>
        <v>30</v>
      </c>
      <c r="H47" s="67">
        <f t="shared" si="14"/>
        <v>30</v>
      </c>
      <c r="I47" s="67">
        <f t="shared" si="14"/>
        <v>30</v>
      </c>
      <c r="J47" s="67">
        <f t="shared" si="14"/>
        <v>30</v>
      </c>
      <c r="K47" s="67">
        <f t="shared" si="14"/>
        <v>30</v>
      </c>
      <c r="L47" s="67">
        <f t="shared" si="14"/>
        <v>30</v>
      </c>
      <c r="M47" s="67">
        <f t="shared" si="14"/>
        <v>30</v>
      </c>
      <c r="N47" s="67">
        <f t="shared" si="14"/>
        <v>30</v>
      </c>
      <c r="O47" s="68">
        <f t="shared" si="1"/>
        <v>360</v>
      </c>
    </row>
    <row r="48" spans="1:15" x14ac:dyDescent="0.25">
      <c r="A48" s="59" t="s">
        <v>351</v>
      </c>
      <c r="B48" s="59" t="s">
        <v>328</v>
      </c>
      <c r="C48" s="67">
        <f t="shared" ref="C48:N48" si="15">$C$25</f>
        <v>25</v>
      </c>
      <c r="D48" s="67">
        <f t="shared" si="15"/>
        <v>25</v>
      </c>
      <c r="E48" s="67">
        <f t="shared" si="15"/>
        <v>25</v>
      </c>
      <c r="F48" s="67">
        <f t="shared" si="15"/>
        <v>25</v>
      </c>
      <c r="G48" s="67">
        <f t="shared" si="15"/>
        <v>25</v>
      </c>
      <c r="H48" s="67">
        <f t="shared" si="15"/>
        <v>25</v>
      </c>
      <c r="I48" s="67">
        <f t="shared" si="15"/>
        <v>25</v>
      </c>
      <c r="J48" s="67">
        <f t="shared" si="15"/>
        <v>25</v>
      </c>
      <c r="K48" s="67">
        <f t="shared" si="15"/>
        <v>25</v>
      </c>
      <c r="L48" s="67">
        <f t="shared" si="15"/>
        <v>25</v>
      </c>
      <c r="M48" s="67">
        <f t="shared" si="15"/>
        <v>25</v>
      </c>
      <c r="N48" s="67">
        <f t="shared" si="15"/>
        <v>25</v>
      </c>
      <c r="O48" s="68">
        <f t="shared" si="1"/>
        <v>300</v>
      </c>
    </row>
    <row r="49" spans="1:15" x14ac:dyDescent="0.25">
      <c r="A49" s="59" t="s">
        <v>351</v>
      </c>
      <c r="B49" s="59" t="s">
        <v>926</v>
      </c>
      <c r="C49" s="67">
        <f t="shared" ref="C49:N49" si="16">$C$26</f>
        <v>400</v>
      </c>
      <c r="D49" s="67">
        <f t="shared" si="16"/>
        <v>400</v>
      </c>
      <c r="E49" s="67">
        <f t="shared" si="16"/>
        <v>400</v>
      </c>
      <c r="F49" s="67">
        <f t="shared" si="16"/>
        <v>400</v>
      </c>
      <c r="G49" s="67">
        <f t="shared" si="16"/>
        <v>400</v>
      </c>
      <c r="H49" s="67">
        <f t="shared" si="16"/>
        <v>400</v>
      </c>
      <c r="I49" s="67">
        <f t="shared" si="16"/>
        <v>400</v>
      </c>
      <c r="J49" s="67">
        <f t="shared" si="16"/>
        <v>400</v>
      </c>
      <c r="K49" s="67">
        <f t="shared" si="16"/>
        <v>400</v>
      </c>
      <c r="L49" s="67">
        <f t="shared" si="16"/>
        <v>400</v>
      </c>
      <c r="M49" s="67">
        <f t="shared" si="16"/>
        <v>400</v>
      </c>
      <c r="N49" s="67">
        <f t="shared" si="16"/>
        <v>400</v>
      </c>
      <c r="O49" s="68">
        <f t="shared" si="1"/>
        <v>4800</v>
      </c>
    </row>
    <row r="51" spans="1:15" x14ac:dyDescent="0.25">
      <c r="A51" s="59"/>
      <c r="B51" s="69" t="s">
        <v>938</v>
      </c>
      <c r="C51" s="70">
        <f t="shared" ref="C51:N51" si="17">SUM(C33:C38)</f>
        <v>7435.5</v>
      </c>
      <c r="D51" s="70">
        <f t="shared" si="17"/>
        <v>7435.5</v>
      </c>
      <c r="E51" s="70">
        <f t="shared" si="17"/>
        <v>12239.666666666668</v>
      </c>
      <c r="F51" s="70">
        <f t="shared" si="17"/>
        <v>12239.666666666668</v>
      </c>
      <c r="G51" s="70">
        <f t="shared" si="17"/>
        <v>12239.666666666668</v>
      </c>
      <c r="H51" s="70">
        <f t="shared" si="17"/>
        <v>12239.666666666668</v>
      </c>
      <c r="I51" s="70">
        <f t="shared" si="17"/>
        <v>13623.266666666668</v>
      </c>
      <c r="J51" s="70">
        <f t="shared" si="17"/>
        <v>13623.266666666668</v>
      </c>
      <c r="K51" s="70">
        <f t="shared" si="17"/>
        <v>13623.266666666668</v>
      </c>
      <c r="L51" s="70">
        <f t="shared" si="17"/>
        <v>13623.266666666668</v>
      </c>
      <c r="M51" s="70">
        <f t="shared" si="17"/>
        <v>13623.266666666668</v>
      </c>
      <c r="N51" s="70">
        <f t="shared" si="17"/>
        <v>13623.266666666668</v>
      </c>
      <c r="O51" s="68">
        <f>SUM(C51:N51)</f>
        <v>145569.26666666666</v>
      </c>
    </row>
    <row r="52" spans="1:15" x14ac:dyDescent="0.25">
      <c r="B52" s="69" t="s">
        <v>939</v>
      </c>
      <c r="C52" s="70">
        <f t="shared" ref="C52:N52" si="18">SUM(C39:C41)</f>
        <v>1850</v>
      </c>
      <c r="D52" s="70">
        <f t="shared" si="18"/>
        <v>1850</v>
      </c>
      <c r="E52" s="70">
        <f t="shared" si="18"/>
        <v>1850</v>
      </c>
      <c r="F52" s="70">
        <f t="shared" si="18"/>
        <v>1850</v>
      </c>
      <c r="G52" s="70">
        <f t="shared" si="18"/>
        <v>1850</v>
      </c>
      <c r="H52" s="70">
        <f t="shared" si="18"/>
        <v>1850</v>
      </c>
      <c r="I52" s="70">
        <f t="shared" si="18"/>
        <v>1850</v>
      </c>
      <c r="J52" s="70">
        <f t="shared" si="18"/>
        <v>1850</v>
      </c>
      <c r="K52" s="70">
        <f t="shared" si="18"/>
        <v>1850</v>
      </c>
      <c r="L52" s="70">
        <f t="shared" si="18"/>
        <v>1850</v>
      </c>
      <c r="M52" s="70">
        <f t="shared" si="18"/>
        <v>1850</v>
      </c>
      <c r="N52" s="70">
        <f t="shared" si="18"/>
        <v>1850</v>
      </c>
      <c r="O52" s="68">
        <f>SUM(C52:N52)</f>
        <v>22200</v>
      </c>
    </row>
    <row r="53" spans="1:15" x14ac:dyDescent="0.25">
      <c r="B53" s="69" t="s">
        <v>940</v>
      </c>
      <c r="C53" s="70">
        <f t="shared" ref="C53:N53" si="19">SUM(C42:C43)</f>
        <v>8000</v>
      </c>
      <c r="D53" s="70">
        <f t="shared" si="19"/>
        <v>8000</v>
      </c>
      <c r="E53" s="70">
        <f t="shared" si="19"/>
        <v>8000</v>
      </c>
      <c r="F53" s="70">
        <f t="shared" si="19"/>
        <v>8000</v>
      </c>
      <c r="G53" s="70">
        <f t="shared" si="19"/>
        <v>8000</v>
      </c>
      <c r="H53" s="70">
        <f t="shared" si="19"/>
        <v>8000</v>
      </c>
      <c r="I53" s="70">
        <f t="shared" si="19"/>
        <v>8000</v>
      </c>
      <c r="J53" s="70">
        <f t="shared" si="19"/>
        <v>8000</v>
      </c>
      <c r="K53" s="70">
        <f t="shared" si="19"/>
        <v>8000</v>
      </c>
      <c r="L53" s="70">
        <f t="shared" si="19"/>
        <v>8000</v>
      </c>
      <c r="M53" s="70">
        <f t="shared" si="19"/>
        <v>8000</v>
      </c>
      <c r="N53" s="70">
        <f t="shared" si="19"/>
        <v>8000</v>
      </c>
      <c r="O53" s="68">
        <f>SUM(C53:N53)</f>
        <v>96000</v>
      </c>
    </row>
    <row r="54" spans="1:15" x14ac:dyDescent="0.25">
      <c r="B54" s="69" t="s">
        <v>941</v>
      </c>
      <c r="C54" s="70">
        <f t="shared" ref="C54:N54" si="20">SUM(C44:C49)</f>
        <v>1704</v>
      </c>
      <c r="D54" s="70">
        <f t="shared" si="20"/>
        <v>1704</v>
      </c>
      <c r="E54" s="70">
        <f t="shared" si="20"/>
        <v>1704</v>
      </c>
      <c r="F54" s="70">
        <f t="shared" si="20"/>
        <v>1704</v>
      </c>
      <c r="G54" s="70">
        <f t="shared" si="20"/>
        <v>1704</v>
      </c>
      <c r="H54" s="70">
        <f t="shared" si="20"/>
        <v>1704</v>
      </c>
      <c r="I54" s="70">
        <f t="shared" si="20"/>
        <v>1704</v>
      </c>
      <c r="J54" s="70">
        <f t="shared" si="20"/>
        <v>1704</v>
      </c>
      <c r="K54" s="70">
        <f t="shared" si="20"/>
        <v>1704</v>
      </c>
      <c r="L54" s="70">
        <f t="shared" si="20"/>
        <v>1704</v>
      </c>
      <c r="M54" s="70">
        <f t="shared" si="20"/>
        <v>1704</v>
      </c>
      <c r="N54" s="70">
        <f t="shared" si="20"/>
        <v>1704</v>
      </c>
      <c r="O54" s="68">
        <f>SUM(C54:N54)</f>
        <v>20448</v>
      </c>
    </row>
    <row r="56" spans="1:15" x14ac:dyDescent="0.25">
      <c r="B56" s="64" t="s">
        <v>942</v>
      </c>
      <c r="C56" s="71">
        <f t="shared" ref="C56:N56" si="21">C51+C52+C53+C54</f>
        <v>18989.5</v>
      </c>
      <c r="D56" s="71">
        <f t="shared" si="21"/>
        <v>18989.5</v>
      </c>
      <c r="E56" s="71">
        <f t="shared" si="21"/>
        <v>23793.666666666668</v>
      </c>
      <c r="F56" s="71">
        <f t="shared" si="21"/>
        <v>23793.666666666668</v>
      </c>
      <c r="G56" s="71">
        <f t="shared" si="21"/>
        <v>23793.666666666668</v>
      </c>
      <c r="H56" s="71">
        <f t="shared" si="21"/>
        <v>23793.666666666668</v>
      </c>
      <c r="I56" s="71">
        <f t="shared" si="21"/>
        <v>25177.26666666667</v>
      </c>
      <c r="J56" s="71">
        <f t="shared" si="21"/>
        <v>25177.26666666667</v>
      </c>
      <c r="K56" s="71">
        <f t="shared" si="21"/>
        <v>25177.26666666667</v>
      </c>
      <c r="L56" s="71">
        <f t="shared" si="21"/>
        <v>25177.26666666667</v>
      </c>
      <c r="M56" s="71">
        <f t="shared" si="21"/>
        <v>25177.26666666667</v>
      </c>
      <c r="N56" s="71">
        <f t="shared" si="21"/>
        <v>25177.26666666667</v>
      </c>
      <c r="O56" s="71">
        <f>SUM(C56:N56)</f>
        <v>284217.26666666666</v>
      </c>
    </row>
    <row r="60" spans="1:15" ht="18.75" customHeight="1" x14ac:dyDescent="0.3">
      <c r="A60" s="96" t="s">
        <v>943</v>
      </c>
    </row>
    <row r="62" spans="1:15" x14ac:dyDescent="0.25">
      <c r="A62" t="s">
        <v>944</v>
      </c>
    </row>
    <row r="63" spans="1:15" x14ac:dyDescent="0.25">
      <c r="A63" t="s">
        <v>945</v>
      </c>
    </row>
    <row r="65" spans="1:1" x14ac:dyDescent="0.25">
      <c r="A65" t="s">
        <v>946</v>
      </c>
    </row>
    <row r="66" spans="1:1" x14ac:dyDescent="0.25">
      <c r="A66" t="s">
        <v>947</v>
      </c>
    </row>
    <row r="67" spans="1:1" x14ac:dyDescent="0.25">
      <c r="A67" t="s">
        <v>948</v>
      </c>
    </row>
    <row r="68" spans="1:1" x14ac:dyDescent="0.25">
      <c r="A68" t="s">
        <v>949</v>
      </c>
    </row>
    <row r="69" spans="1:1" x14ac:dyDescent="0.25">
      <c r="A69" t="s">
        <v>950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57"/>
  <sheetViews>
    <sheetView topLeftCell="A27" workbookViewId="0">
      <selection activeCell="I31" sqref="I31"/>
    </sheetView>
  </sheetViews>
  <sheetFormatPr defaultRowHeight="15" x14ac:dyDescent="0.25"/>
  <cols>
    <col min="1" max="1" width="55.140625" bestFit="1" customWidth="1"/>
    <col min="2" max="2" width="21.140625" bestFit="1" customWidth="1"/>
    <col min="3" max="3" width="15.42578125" bestFit="1" customWidth="1"/>
    <col min="4" max="4" width="33.85546875" bestFit="1" customWidth="1"/>
    <col min="5" max="28" width="11" customWidth="1"/>
  </cols>
  <sheetData>
    <row r="1" spans="1:4" ht="18.75" customHeight="1" x14ac:dyDescent="0.3">
      <c r="A1" s="54" t="s">
        <v>951</v>
      </c>
    </row>
    <row r="2" spans="1:4" x14ac:dyDescent="0.25">
      <c r="A2" t="s">
        <v>952</v>
      </c>
    </row>
    <row r="3" spans="1:4" x14ac:dyDescent="0.25">
      <c r="A3" t="s">
        <v>889</v>
      </c>
    </row>
    <row r="4" spans="1:4" x14ac:dyDescent="0.25">
      <c r="A4" s="127" t="s">
        <v>953</v>
      </c>
    </row>
    <row r="5" spans="1:4" x14ac:dyDescent="0.25">
      <c r="A5" s="63" t="s">
        <v>954</v>
      </c>
    </row>
    <row r="6" spans="1:4" x14ac:dyDescent="0.25">
      <c r="A6" s="64" t="s">
        <v>536</v>
      </c>
      <c r="B6" s="64" t="s">
        <v>218</v>
      </c>
      <c r="C6" s="64" t="s">
        <v>63</v>
      </c>
      <c r="D6" s="64" t="s">
        <v>64</v>
      </c>
    </row>
    <row r="7" spans="1:4" x14ac:dyDescent="0.25">
      <c r="A7" s="59" t="s">
        <v>527</v>
      </c>
      <c r="B7" s="72">
        <f>Assumptions!B221</f>
        <v>4</v>
      </c>
      <c r="C7" s="59" t="s">
        <v>66</v>
      </c>
      <c r="D7" s="59" t="s">
        <v>67</v>
      </c>
    </row>
    <row r="8" spans="1:4" x14ac:dyDescent="0.25">
      <c r="A8" s="59" t="s">
        <v>955</v>
      </c>
      <c r="B8" s="72">
        <f>Assumptions!B161</f>
        <v>0.15</v>
      </c>
      <c r="C8" s="59" t="s">
        <v>69</v>
      </c>
      <c r="D8" s="59" t="s">
        <v>956</v>
      </c>
    </row>
    <row r="9" spans="1:4" x14ac:dyDescent="0.25">
      <c r="A9" s="59" t="s">
        <v>528</v>
      </c>
      <c r="B9" s="72">
        <f>Assumptions!B222</f>
        <v>0.3</v>
      </c>
      <c r="C9" s="59" t="s">
        <v>69</v>
      </c>
      <c r="D9" s="59" t="s">
        <v>957</v>
      </c>
    </row>
    <row r="10" spans="1:4" x14ac:dyDescent="0.25">
      <c r="A10" s="59" t="s">
        <v>958</v>
      </c>
      <c r="B10" s="72">
        <v>5</v>
      </c>
      <c r="C10" s="59" t="s">
        <v>77</v>
      </c>
      <c r="D10" s="59" t="s">
        <v>959</v>
      </c>
    </row>
    <row r="11" spans="1:4" x14ac:dyDescent="0.25">
      <c r="A11" s="59" t="s">
        <v>960</v>
      </c>
      <c r="B11" s="72">
        <f>Assumptions!B172</f>
        <v>299</v>
      </c>
      <c r="C11" s="59" t="s">
        <v>85</v>
      </c>
      <c r="D11" s="59" t="s">
        <v>86</v>
      </c>
    </row>
    <row r="12" spans="1:4" x14ac:dyDescent="0.25">
      <c r="A12" s="59" t="s">
        <v>81</v>
      </c>
      <c r="B12" s="72">
        <f>Assumptions!B219</f>
        <v>1200</v>
      </c>
      <c r="C12" s="59" t="s">
        <v>961</v>
      </c>
      <c r="D12" s="59" t="s">
        <v>962</v>
      </c>
    </row>
    <row r="13" spans="1:4" x14ac:dyDescent="0.25">
      <c r="A13" s="59" t="s">
        <v>79</v>
      </c>
      <c r="B13" s="72">
        <v>0.6</v>
      </c>
      <c r="C13" s="59" t="s">
        <v>69</v>
      </c>
      <c r="D13" s="59" t="s">
        <v>963</v>
      </c>
    </row>
    <row r="14" spans="1:4" x14ac:dyDescent="0.25">
      <c r="A14" s="59" t="s">
        <v>964</v>
      </c>
      <c r="B14" s="72">
        <v>400</v>
      </c>
      <c r="C14" s="59" t="s">
        <v>85</v>
      </c>
      <c r="D14" s="59" t="s">
        <v>965</v>
      </c>
    </row>
    <row r="15" spans="1:4" x14ac:dyDescent="0.25">
      <c r="A15" s="59" t="s">
        <v>966</v>
      </c>
      <c r="B15" s="72">
        <v>70</v>
      </c>
      <c r="C15" s="59" t="s">
        <v>85</v>
      </c>
      <c r="D15" s="59" t="s">
        <v>967</v>
      </c>
    </row>
    <row r="16" spans="1:4" x14ac:dyDescent="0.25">
      <c r="A16" s="59" t="s">
        <v>968</v>
      </c>
      <c r="B16" s="72">
        <f>Assumptions!B169</f>
        <v>0.2</v>
      </c>
      <c r="C16" s="59" t="s">
        <v>69</v>
      </c>
      <c r="D16" s="59" t="s">
        <v>969</v>
      </c>
    </row>
    <row r="18" spans="1:28" x14ac:dyDescent="0.25">
      <c r="A18" s="63" t="s">
        <v>970</v>
      </c>
    </row>
    <row r="19" spans="1:28" x14ac:dyDescent="0.25">
      <c r="A19" s="64" t="s">
        <v>536</v>
      </c>
      <c r="B19" s="64" t="s">
        <v>218</v>
      </c>
      <c r="C19" s="64" t="s">
        <v>63</v>
      </c>
      <c r="D19" s="64" t="s">
        <v>64</v>
      </c>
    </row>
    <row r="20" spans="1:28" x14ac:dyDescent="0.25">
      <c r="A20" s="59" t="s">
        <v>971</v>
      </c>
      <c r="B20" s="72">
        <v>15</v>
      </c>
      <c r="C20" s="59" t="s">
        <v>972</v>
      </c>
      <c r="D20" s="59" t="s">
        <v>973</v>
      </c>
    </row>
    <row r="21" spans="1:28" x14ac:dyDescent="0.25">
      <c r="A21" s="59" t="s">
        <v>974</v>
      </c>
      <c r="B21" s="72">
        <v>65</v>
      </c>
      <c r="C21" s="59" t="s">
        <v>961</v>
      </c>
      <c r="D21" s="59" t="s">
        <v>975</v>
      </c>
    </row>
    <row r="22" spans="1:28" x14ac:dyDescent="0.25">
      <c r="A22" s="59" t="s">
        <v>976</v>
      </c>
      <c r="B22" s="72">
        <v>0.1</v>
      </c>
      <c r="C22" s="59" t="s">
        <v>69</v>
      </c>
      <c r="D22" s="59" t="s">
        <v>977</v>
      </c>
    </row>
    <row r="25" spans="1:28" ht="18.75" customHeight="1" x14ac:dyDescent="0.3">
      <c r="A25" s="54" t="s">
        <v>978</v>
      </c>
    </row>
    <row r="26" spans="1:28" x14ac:dyDescent="0.25">
      <c r="C26" s="73" t="s">
        <v>979</v>
      </c>
      <c r="O26" s="73" t="s">
        <v>980</v>
      </c>
    </row>
    <row r="27" spans="1:28" x14ac:dyDescent="0.25">
      <c r="A27" s="64" t="s">
        <v>216</v>
      </c>
      <c r="B27" s="64" t="s">
        <v>624</v>
      </c>
      <c r="C27" s="66" t="s">
        <v>13</v>
      </c>
      <c r="D27" s="66" t="s">
        <v>14</v>
      </c>
      <c r="E27" s="66" t="s">
        <v>15</v>
      </c>
      <c r="F27" s="66" t="s">
        <v>16</v>
      </c>
      <c r="G27" s="66" t="s">
        <v>17</v>
      </c>
      <c r="H27" s="66" t="s">
        <v>18</v>
      </c>
      <c r="I27" s="66" t="s">
        <v>19</v>
      </c>
      <c r="J27" s="66" t="s">
        <v>20</v>
      </c>
      <c r="K27" s="66" t="s">
        <v>21</v>
      </c>
      <c r="L27" s="66" t="s">
        <v>22</v>
      </c>
      <c r="M27" s="66" t="s">
        <v>23</v>
      </c>
      <c r="N27" s="66" t="s">
        <v>24</v>
      </c>
      <c r="O27" s="66" t="s">
        <v>25</v>
      </c>
      <c r="P27" s="66" t="s">
        <v>26</v>
      </c>
      <c r="Q27" s="66" t="s">
        <v>27</v>
      </c>
      <c r="R27" s="66" t="s">
        <v>28</v>
      </c>
      <c r="S27" s="66" t="s">
        <v>29</v>
      </c>
      <c r="T27" s="66" t="s">
        <v>30</v>
      </c>
      <c r="U27" s="66" t="s">
        <v>31</v>
      </c>
      <c r="V27" s="66" t="s">
        <v>32</v>
      </c>
      <c r="W27" s="66" t="s">
        <v>33</v>
      </c>
      <c r="X27" s="66" t="s">
        <v>34</v>
      </c>
      <c r="Y27" s="66" t="s">
        <v>35</v>
      </c>
      <c r="Z27" s="66" t="s">
        <v>36</v>
      </c>
      <c r="AA27" s="64" t="s">
        <v>931</v>
      </c>
      <c r="AB27" s="64" t="s">
        <v>981</v>
      </c>
    </row>
    <row r="28" spans="1:28" x14ac:dyDescent="0.25">
      <c r="A28" s="59" t="s">
        <v>982</v>
      </c>
      <c r="B28" s="59" t="s">
        <v>49</v>
      </c>
      <c r="C28" s="74">
        <f>'Churn Model'!E29</f>
        <v>4</v>
      </c>
      <c r="D28" s="74">
        <f>'Churn Model'!E30</f>
        <v>5</v>
      </c>
      <c r="E28" s="74">
        <f>'Churn Model'!E31</f>
        <v>6</v>
      </c>
      <c r="F28" s="74">
        <f>'Churn Model'!E32</f>
        <v>7</v>
      </c>
      <c r="G28" s="74">
        <f>'Churn Model'!E33</f>
        <v>8</v>
      </c>
      <c r="H28" s="74">
        <f>'Churn Model'!E34</f>
        <v>9</v>
      </c>
      <c r="I28" s="74">
        <f>'Churn Model'!E35</f>
        <v>10</v>
      </c>
      <c r="J28" s="74">
        <f>'Churn Model'!E36</f>
        <v>11</v>
      </c>
      <c r="K28" s="74">
        <f>'Churn Model'!E37</f>
        <v>12</v>
      </c>
      <c r="L28" s="74">
        <f>'Churn Model'!E38</f>
        <v>13</v>
      </c>
      <c r="M28" s="74">
        <f>'Churn Model'!E39</f>
        <v>14</v>
      </c>
      <c r="N28" s="74">
        <f>'Churn Model'!E40</f>
        <v>15</v>
      </c>
      <c r="O28" s="74">
        <f>'Churn Model'!E41</f>
        <v>19</v>
      </c>
      <c r="P28" s="74">
        <f>'Churn Model'!E42</f>
        <v>24</v>
      </c>
      <c r="Q28" s="74">
        <f>'Churn Model'!E43</f>
        <v>30</v>
      </c>
      <c r="R28" s="74">
        <f>'Churn Model'!E44</f>
        <v>38</v>
      </c>
      <c r="S28" s="74">
        <f>'Churn Model'!E45</f>
        <v>47</v>
      </c>
      <c r="T28" s="74">
        <f>'Churn Model'!E46</f>
        <v>59</v>
      </c>
      <c r="U28" s="74">
        <f>'Churn Model'!E47</f>
        <v>75</v>
      </c>
      <c r="V28" s="74">
        <f>'Churn Model'!E48</f>
        <v>95</v>
      </c>
      <c r="W28" s="74">
        <f>'Churn Model'!E49</f>
        <v>120</v>
      </c>
      <c r="X28" s="74">
        <f>'Churn Model'!E50</f>
        <v>151</v>
      </c>
      <c r="Y28" s="74">
        <f>'Churn Model'!E51</f>
        <v>190</v>
      </c>
      <c r="Z28" s="74">
        <f>'Churn Model'!E52</f>
        <v>239</v>
      </c>
      <c r="AA28" s="75">
        <f>'Churn Model'!E40</f>
        <v>15</v>
      </c>
      <c r="AB28" s="75">
        <f>'Churn Model'!E52</f>
        <v>239</v>
      </c>
    </row>
    <row r="29" spans="1:28" x14ac:dyDescent="0.25">
      <c r="A29" s="59" t="s">
        <v>450</v>
      </c>
      <c r="B29" s="59" t="s">
        <v>4</v>
      </c>
      <c r="C29" s="76">
        <f t="shared" ref="C29:Z29" si="0">C28*$B$11</f>
        <v>1196</v>
      </c>
      <c r="D29" s="76">
        <f t="shared" si="0"/>
        <v>1495</v>
      </c>
      <c r="E29" s="76">
        <f t="shared" si="0"/>
        <v>1794</v>
      </c>
      <c r="F29" s="76">
        <f t="shared" si="0"/>
        <v>2093</v>
      </c>
      <c r="G29" s="76">
        <f t="shared" si="0"/>
        <v>2392</v>
      </c>
      <c r="H29" s="76">
        <f t="shared" si="0"/>
        <v>2691</v>
      </c>
      <c r="I29" s="76">
        <f t="shared" si="0"/>
        <v>2990</v>
      </c>
      <c r="J29" s="76">
        <f t="shared" si="0"/>
        <v>3289</v>
      </c>
      <c r="K29" s="76">
        <f t="shared" si="0"/>
        <v>3588</v>
      </c>
      <c r="L29" s="76">
        <f t="shared" si="0"/>
        <v>3887</v>
      </c>
      <c r="M29" s="76">
        <f t="shared" si="0"/>
        <v>4186</v>
      </c>
      <c r="N29" s="76">
        <f t="shared" si="0"/>
        <v>4485</v>
      </c>
      <c r="O29" s="76">
        <f t="shared" si="0"/>
        <v>5681</v>
      </c>
      <c r="P29" s="76">
        <f t="shared" si="0"/>
        <v>7176</v>
      </c>
      <c r="Q29" s="76">
        <f t="shared" si="0"/>
        <v>8970</v>
      </c>
      <c r="R29" s="76">
        <f t="shared" si="0"/>
        <v>11362</v>
      </c>
      <c r="S29" s="76">
        <f t="shared" si="0"/>
        <v>14053</v>
      </c>
      <c r="T29" s="76">
        <f t="shared" si="0"/>
        <v>17641</v>
      </c>
      <c r="U29" s="76">
        <f t="shared" si="0"/>
        <v>22425</v>
      </c>
      <c r="V29" s="76">
        <f t="shared" si="0"/>
        <v>28405</v>
      </c>
      <c r="W29" s="76">
        <f t="shared" si="0"/>
        <v>35880</v>
      </c>
      <c r="X29" s="76">
        <f t="shared" si="0"/>
        <v>45149</v>
      </c>
      <c r="Y29" s="76">
        <f t="shared" si="0"/>
        <v>56810</v>
      </c>
      <c r="Z29" s="76">
        <f t="shared" si="0"/>
        <v>71461</v>
      </c>
      <c r="AA29" s="68">
        <f t="shared" ref="AA29:AA38" si="1">SUM(C29:N29)</f>
        <v>34086</v>
      </c>
      <c r="AB29" s="68">
        <f t="shared" ref="AB29:AB38" si="2">SUM(O29:Z29)</f>
        <v>325013</v>
      </c>
    </row>
    <row r="30" spans="1:28" x14ac:dyDescent="0.25">
      <c r="A30" s="59" t="s">
        <v>450</v>
      </c>
      <c r="B30" s="59" t="s">
        <v>383</v>
      </c>
      <c r="C30" s="76">
        <f t="shared" ref="C30:Z30" si="3">C28*$B$10*$B$12</f>
        <v>24000</v>
      </c>
      <c r="D30" s="76">
        <f t="shared" si="3"/>
        <v>30000</v>
      </c>
      <c r="E30" s="76">
        <f t="shared" si="3"/>
        <v>36000</v>
      </c>
      <c r="F30" s="76">
        <f t="shared" si="3"/>
        <v>42000</v>
      </c>
      <c r="G30" s="76">
        <f t="shared" si="3"/>
        <v>48000</v>
      </c>
      <c r="H30" s="76">
        <f t="shared" si="3"/>
        <v>54000</v>
      </c>
      <c r="I30" s="76">
        <f t="shared" si="3"/>
        <v>60000</v>
      </c>
      <c r="J30" s="76">
        <f t="shared" si="3"/>
        <v>66000</v>
      </c>
      <c r="K30" s="76">
        <f t="shared" si="3"/>
        <v>72000</v>
      </c>
      <c r="L30" s="76">
        <f t="shared" si="3"/>
        <v>78000</v>
      </c>
      <c r="M30" s="76">
        <f t="shared" si="3"/>
        <v>84000</v>
      </c>
      <c r="N30" s="76">
        <f t="shared" si="3"/>
        <v>90000</v>
      </c>
      <c r="O30" s="76">
        <f t="shared" si="3"/>
        <v>114000</v>
      </c>
      <c r="P30" s="76">
        <f t="shared" si="3"/>
        <v>144000</v>
      </c>
      <c r="Q30" s="76">
        <f t="shared" si="3"/>
        <v>180000</v>
      </c>
      <c r="R30" s="76">
        <f t="shared" si="3"/>
        <v>228000</v>
      </c>
      <c r="S30" s="76">
        <f t="shared" si="3"/>
        <v>282000</v>
      </c>
      <c r="T30" s="76">
        <f t="shared" si="3"/>
        <v>354000</v>
      </c>
      <c r="U30" s="76">
        <f t="shared" si="3"/>
        <v>450000</v>
      </c>
      <c r="V30" s="76">
        <f t="shared" si="3"/>
        <v>570000</v>
      </c>
      <c r="W30" s="76">
        <f t="shared" si="3"/>
        <v>720000</v>
      </c>
      <c r="X30" s="76">
        <f t="shared" si="3"/>
        <v>906000</v>
      </c>
      <c r="Y30" s="76">
        <f t="shared" si="3"/>
        <v>1140000</v>
      </c>
      <c r="Z30" s="76">
        <f t="shared" si="3"/>
        <v>1434000</v>
      </c>
      <c r="AA30" s="68">
        <f t="shared" si="1"/>
        <v>684000</v>
      </c>
      <c r="AB30" s="68">
        <f t="shared" si="2"/>
        <v>6522000</v>
      </c>
    </row>
    <row r="31" spans="1:28" x14ac:dyDescent="0.25">
      <c r="A31" s="59" t="s">
        <v>450</v>
      </c>
      <c r="B31" s="59" t="s">
        <v>391</v>
      </c>
      <c r="C31" s="76">
        <v>0</v>
      </c>
      <c r="D31" s="76">
        <v>0</v>
      </c>
      <c r="E31" s="76">
        <v>0</v>
      </c>
      <c r="F31" s="76">
        <f t="shared" ref="F31:Z31" si="4">F28*$B$13*$B$14</f>
        <v>1680</v>
      </c>
      <c r="G31" s="76">
        <f t="shared" si="4"/>
        <v>1920</v>
      </c>
      <c r="H31" s="76">
        <f t="shared" si="4"/>
        <v>2160</v>
      </c>
      <c r="I31" s="76">
        <f t="shared" si="4"/>
        <v>2400</v>
      </c>
      <c r="J31" s="76">
        <f t="shared" si="4"/>
        <v>2640</v>
      </c>
      <c r="K31" s="76">
        <f t="shared" si="4"/>
        <v>2879.9999999999995</v>
      </c>
      <c r="L31" s="76">
        <f t="shared" si="4"/>
        <v>3120</v>
      </c>
      <c r="M31" s="76">
        <f t="shared" si="4"/>
        <v>3360</v>
      </c>
      <c r="N31" s="76">
        <f t="shared" si="4"/>
        <v>3600</v>
      </c>
      <c r="O31" s="76">
        <f t="shared" si="4"/>
        <v>4560</v>
      </c>
      <c r="P31" s="76">
        <f t="shared" si="4"/>
        <v>5759.9999999999991</v>
      </c>
      <c r="Q31" s="76">
        <f t="shared" si="4"/>
        <v>7200</v>
      </c>
      <c r="R31" s="76">
        <f t="shared" si="4"/>
        <v>9120</v>
      </c>
      <c r="S31" s="76">
        <f t="shared" si="4"/>
        <v>11280</v>
      </c>
      <c r="T31" s="76">
        <f t="shared" si="4"/>
        <v>14160</v>
      </c>
      <c r="U31" s="76">
        <f t="shared" si="4"/>
        <v>18000</v>
      </c>
      <c r="V31" s="76">
        <f t="shared" si="4"/>
        <v>22800</v>
      </c>
      <c r="W31" s="76">
        <f t="shared" si="4"/>
        <v>28800</v>
      </c>
      <c r="X31" s="76">
        <f t="shared" si="4"/>
        <v>36240</v>
      </c>
      <c r="Y31" s="76">
        <f t="shared" si="4"/>
        <v>45600</v>
      </c>
      <c r="Z31" s="76">
        <f t="shared" si="4"/>
        <v>57360</v>
      </c>
      <c r="AA31" s="68">
        <f t="shared" si="1"/>
        <v>23760</v>
      </c>
      <c r="AB31" s="68">
        <f t="shared" si="2"/>
        <v>260880</v>
      </c>
    </row>
    <row r="32" spans="1:28" x14ac:dyDescent="0.25">
      <c r="A32" s="59" t="s">
        <v>450</v>
      </c>
      <c r="B32" s="59" t="s">
        <v>395</v>
      </c>
      <c r="C32" s="76">
        <f t="shared" ref="C32:Z32" si="5">C28*$B$16*$B$15</f>
        <v>56</v>
      </c>
      <c r="D32" s="76">
        <f t="shared" si="5"/>
        <v>70</v>
      </c>
      <c r="E32" s="76">
        <f t="shared" si="5"/>
        <v>84.000000000000014</v>
      </c>
      <c r="F32" s="76">
        <f t="shared" si="5"/>
        <v>98.000000000000014</v>
      </c>
      <c r="G32" s="76">
        <f t="shared" si="5"/>
        <v>112</v>
      </c>
      <c r="H32" s="76">
        <f t="shared" si="5"/>
        <v>126</v>
      </c>
      <c r="I32" s="76">
        <f t="shared" si="5"/>
        <v>140</v>
      </c>
      <c r="J32" s="76">
        <f t="shared" si="5"/>
        <v>154</v>
      </c>
      <c r="K32" s="76">
        <f t="shared" si="5"/>
        <v>168.00000000000003</v>
      </c>
      <c r="L32" s="76">
        <f t="shared" si="5"/>
        <v>182</v>
      </c>
      <c r="M32" s="76">
        <f t="shared" si="5"/>
        <v>196.00000000000003</v>
      </c>
      <c r="N32" s="76">
        <f t="shared" si="5"/>
        <v>210</v>
      </c>
      <c r="O32" s="76">
        <f t="shared" si="5"/>
        <v>266</v>
      </c>
      <c r="P32" s="76">
        <f t="shared" si="5"/>
        <v>336.00000000000006</v>
      </c>
      <c r="Q32" s="76">
        <f t="shared" si="5"/>
        <v>420</v>
      </c>
      <c r="R32" s="76">
        <f t="shared" si="5"/>
        <v>532</v>
      </c>
      <c r="S32" s="76">
        <f t="shared" si="5"/>
        <v>658</v>
      </c>
      <c r="T32" s="76">
        <f t="shared" si="5"/>
        <v>826</v>
      </c>
      <c r="U32" s="76">
        <f t="shared" si="5"/>
        <v>1050</v>
      </c>
      <c r="V32" s="76">
        <f t="shared" si="5"/>
        <v>1330</v>
      </c>
      <c r="W32" s="76">
        <f t="shared" si="5"/>
        <v>1680</v>
      </c>
      <c r="X32" s="76">
        <f t="shared" si="5"/>
        <v>2114</v>
      </c>
      <c r="Y32" s="76">
        <f t="shared" si="5"/>
        <v>2660</v>
      </c>
      <c r="Z32" s="76">
        <f t="shared" si="5"/>
        <v>3346.0000000000005</v>
      </c>
      <c r="AA32" s="68">
        <f t="shared" si="1"/>
        <v>1596</v>
      </c>
      <c r="AB32" s="68">
        <f t="shared" si="2"/>
        <v>15218</v>
      </c>
    </row>
    <row r="33" spans="1:28" x14ac:dyDescent="0.25">
      <c r="A33" s="59" t="s">
        <v>450</v>
      </c>
      <c r="B33" s="77" t="s">
        <v>983</v>
      </c>
      <c r="C33" s="78">
        <f t="shared" ref="C33:Z33" si="6">SUM(C29:C32)</f>
        <v>25252</v>
      </c>
      <c r="D33" s="78">
        <f t="shared" si="6"/>
        <v>31565</v>
      </c>
      <c r="E33" s="78">
        <f t="shared" si="6"/>
        <v>37878</v>
      </c>
      <c r="F33" s="78">
        <f t="shared" si="6"/>
        <v>45871</v>
      </c>
      <c r="G33" s="78">
        <f t="shared" si="6"/>
        <v>52424</v>
      </c>
      <c r="H33" s="78">
        <f t="shared" si="6"/>
        <v>58977</v>
      </c>
      <c r="I33" s="78">
        <f t="shared" si="6"/>
        <v>65530</v>
      </c>
      <c r="J33" s="78">
        <f t="shared" si="6"/>
        <v>72083</v>
      </c>
      <c r="K33" s="78">
        <f t="shared" si="6"/>
        <v>78636</v>
      </c>
      <c r="L33" s="78">
        <f t="shared" si="6"/>
        <v>85189</v>
      </c>
      <c r="M33" s="78">
        <f t="shared" si="6"/>
        <v>91742</v>
      </c>
      <c r="N33" s="78">
        <f t="shared" si="6"/>
        <v>98295</v>
      </c>
      <c r="O33" s="78">
        <f t="shared" si="6"/>
        <v>124507</v>
      </c>
      <c r="P33" s="78">
        <f t="shared" si="6"/>
        <v>157272</v>
      </c>
      <c r="Q33" s="78">
        <f t="shared" si="6"/>
        <v>196590</v>
      </c>
      <c r="R33" s="78">
        <f t="shared" si="6"/>
        <v>249014</v>
      </c>
      <c r="S33" s="78">
        <f t="shared" si="6"/>
        <v>307991</v>
      </c>
      <c r="T33" s="78">
        <f t="shared" si="6"/>
        <v>386627</v>
      </c>
      <c r="U33" s="78">
        <f t="shared" si="6"/>
        <v>491475</v>
      </c>
      <c r="V33" s="78">
        <f t="shared" si="6"/>
        <v>622535</v>
      </c>
      <c r="W33" s="78">
        <f t="shared" si="6"/>
        <v>786360</v>
      </c>
      <c r="X33" s="78">
        <f t="shared" si="6"/>
        <v>989503</v>
      </c>
      <c r="Y33" s="78">
        <f t="shared" si="6"/>
        <v>1245070</v>
      </c>
      <c r="Z33" s="78">
        <f t="shared" si="6"/>
        <v>1566167</v>
      </c>
      <c r="AA33" s="68">
        <f t="shared" si="1"/>
        <v>743442</v>
      </c>
      <c r="AB33" s="68">
        <f t="shared" si="2"/>
        <v>7123111</v>
      </c>
    </row>
    <row r="34" spans="1:28" x14ac:dyDescent="0.25">
      <c r="A34" s="59" t="s">
        <v>7</v>
      </c>
      <c r="B34" s="59" t="s">
        <v>971</v>
      </c>
      <c r="C34" s="79">
        <f t="shared" ref="C34:Z34" si="7">C28*$B$20</f>
        <v>60</v>
      </c>
      <c r="D34" s="79">
        <f t="shared" si="7"/>
        <v>75</v>
      </c>
      <c r="E34" s="79">
        <f t="shared" si="7"/>
        <v>90</v>
      </c>
      <c r="F34" s="79">
        <f t="shared" si="7"/>
        <v>105</v>
      </c>
      <c r="G34" s="79">
        <f t="shared" si="7"/>
        <v>120</v>
      </c>
      <c r="H34" s="79">
        <f t="shared" si="7"/>
        <v>135</v>
      </c>
      <c r="I34" s="79">
        <f t="shared" si="7"/>
        <v>150</v>
      </c>
      <c r="J34" s="79">
        <f t="shared" si="7"/>
        <v>165</v>
      </c>
      <c r="K34" s="79">
        <f t="shared" si="7"/>
        <v>180</v>
      </c>
      <c r="L34" s="79">
        <f t="shared" si="7"/>
        <v>195</v>
      </c>
      <c r="M34" s="79">
        <f t="shared" si="7"/>
        <v>210</v>
      </c>
      <c r="N34" s="79">
        <f t="shared" si="7"/>
        <v>225</v>
      </c>
      <c r="O34" s="79">
        <f t="shared" si="7"/>
        <v>285</v>
      </c>
      <c r="P34" s="79">
        <f t="shared" si="7"/>
        <v>360</v>
      </c>
      <c r="Q34" s="79">
        <f t="shared" si="7"/>
        <v>450</v>
      </c>
      <c r="R34" s="79">
        <f t="shared" si="7"/>
        <v>570</v>
      </c>
      <c r="S34" s="79">
        <f t="shared" si="7"/>
        <v>705</v>
      </c>
      <c r="T34" s="79">
        <f t="shared" si="7"/>
        <v>885</v>
      </c>
      <c r="U34" s="79">
        <f t="shared" si="7"/>
        <v>1125</v>
      </c>
      <c r="V34" s="79">
        <f t="shared" si="7"/>
        <v>1425</v>
      </c>
      <c r="W34" s="79">
        <f t="shared" si="7"/>
        <v>1800</v>
      </c>
      <c r="X34" s="79">
        <f t="shared" si="7"/>
        <v>2265</v>
      </c>
      <c r="Y34" s="79">
        <f t="shared" si="7"/>
        <v>2850</v>
      </c>
      <c r="Z34" s="79">
        <f t="shared" si="7"/>
        <v>3585</v>
      </c>
      <c r="AA34" s="68">
        <f t="shared" si="1"/>
        <v>1710</v>
      </c>
      <c r="AB34" s="68">
        <f t="shared" si="2"/>
        <v>16305</v>
      </c>
    </row>
    <row r="35" spans="1:28" x14ac:dyDescent="0.25">
      <c r="A35" s="59" t="s">
        <v>7</v>
      </c>
      <c r="B35" s="59" t="s">
        <v>974</v>
      </c>
      <c r="C35" s="79">
        <f t="shared" ref="C35:Z35" si="8">C28*$B$10*$B$21</f>
        <v>1300</v>
      </c>
      <c r="D35" s="79">
        <f t="shared" si="8"/>
        <v>1625</v>
      </c>
      <c r="E35" s="79">
        <f t="shared" si="8"/>
        <v>1950</v>
      </c>
      <c r="F35" s="79">
        <f t="shared" si="8"/>
        <v>2275</v>
      </c>
      <c r="G35" s="79">
        <f t="shared" si="8"/>
        <v>2600</v>
      </c>
      <c r="H35" s="79">
        <f t="shared" si="8"/>
        <v>2925</v>
      </c>
      <c r="I35" s="79">
        <f t="shared" si="8"/>
        <v>3250</v>
      </c>
      <c r="J35" s="79">
        <f t="shared" si="8"/>
        <v>3575</v>
      </c>
      <c r="K35" s="79">
        <f t="shared" si="8"/>
        <v>3900</v>
      </c>
      <c r="L35" s="79">
        <f t="shared" si="8"/>
        <v>4225</v>
      </c>
      <c r="M35" s="79">
        <f t="shared" si="8"/>
        <v>4550</v>
      </c>
      <c r="N35" s="79">
        <f t="shared" si="8"/>
        <v>4875</v>
      </c>
      <c r="O35" s="79">
        <f t="shared" si="8"/>
        <v>6175</v>
      </c>
      <c r="P35" s="79">
        <f t="shared" si="8"/>
        <v>7800</v>
      </c>
      <c r="Q35" s="79">
        <f t="shared" si="8"/>
        <v>9750</v>
      </c>
      <c r="R35" s="79">
        <f t="shared" si="8"/>
        <v>12350</v>
      </c>
      <c r="S35" s="79">
        <f t="shared" si="8"/>
        <v>15275</v>
      </c>
      <c r="T35" s="79">
        <f t="shared" si="8"/>
        <v>19175</v>
      </c>
      <c r="U35" s="79">
        <f t="shared" si="8"/>
        <v>24375</v>
      </c>
      <c r="V35" s="79">
        <f t="shared" si="8"/>
        <v>30875</v>
      </c>
      <c r="W35" s="79">
        <f t="shared" si="8"/>
        <v>39000</v>
      </c>
      <c r="X35" s="79">
        <f t="shared" si="8"/>
        <v>49075</v>
      </c>
      <c r="Y35" s="79">
        <f t="shared" si="8"/>
        <v>61750</v>
      </c>
      <c r="Z35" s="79">
        <f t="shared" si="8"/>
        <v>77675</v>
      </c>
      <c r="AA35" s="68">
        <f t="shared" si="1"/>
        <v>37050</v>
      </c>
      <c r="AB35" s="68">
        <f t="shared" si="2"/>
        <v>353275</v>
      </c>
    </row>
    <row r="36" spans="1:28" x14ac:dyDescent="0.25">
      <c r="A36" s="59" t="s">
        <v>7</v>
      </c>
      <c r="B36" s="59" t="s">
        <v>984</v>
      </c>
      <c r="C36" s="79">
        <f t="shared" ref="C36:Z36" si="9">C31*$B$22</f>
        <v>0</v>
      </c>
      <c r="D36" s="79">
        <f t="shared" si="9"/>
        <v>0</v>
      </c>
      <c r="E36" s="79">
        <f t="shared" si="9"/>
        <v>0</v>
      </c>
      <c r="F36" s="79">
        <f t="shared" si="9"/>
        <v>168</v>
      </c>
      <c r="G36" s="79">
        <f t="shared" si="9"/>
        <v>192</v>
      </c>
      <c r="H36" s="79">
        <f t="shared" si="9"/>
        <v>216</v>
      </c>
      <c r="I36" s="79">
        <f t="shared" si="9"/>
        <v>240</v>
      </c>
      <c r="J36" s="79">
        <f t="shared" si="9"/>
        <v>264</v>
      </c>
      <c r="K36" s="79">
        <f t="shared" si="9"/>
        <v>287.99999999999994</v>
      </c>
      <c r="L36" s="79">
        <f t="shared" si="9"/>
        <v>312</v>
      </c>
      <c r="M36" s="79">
        <f t="shared" si="9"/>
        <v>336</v>
      </c>
      <c r="N36" s="79">
        <f t="shared" si="9"/>
        <v>360</v>
      </c>
      <c r="O36" s="79">
        <f t="shared" si="9"/>
        <v>456</v>
      </c>
      <c r="P36" s="79">
        <f t="shared" si="9"/>
        <v>575.99999999999989</v>
      </c>
      <c r="Q36" s="79">
        <f t="shared" si="9"/>
        <v>720</v>
      </c>
      <c r="R36" s="79">
        <f t="shared" si="9"/>
        <v>912</v>
      </c>
      <c r="S36" s="79">
        <f t="shared" si="9"/>
        <v>1128</v>
      </c>
      <c r="T36" s="79">
        <f t="shared" si="9"/>
        <v>1416</v>
      </c>
      <c r="U36" s="79">
        <f t="shared" si="9"/>
        <v>1800</v>
      </c>
      <c r="V36" s="79">
        <f t="shared" si="9"/>
        <v>2280</v>
      </c>
      <c r="W36" s="79">
        <f t="shared" si="9"/>
        <v>2880</v>
      </c>
      <c r="X36" s="79">
        <f t="shared" si="9"/>
        <v>3624</v>
      </c>
      <c r="Y36" s="79">
        <f t="shared" si="9"/>
        <v>4560</v>
      </c>
      <c r="Z36" s="79">
        <f t="shared" si="9"/>
        <v>5736</v>
      </c>
      <c r="AA36" s="68">
        <f t="shared" si="1"/>
        <v>2376</v>
      </c>
      <c r="AB36" s="68">
        <f t="shared" si="2"/>
        <v>26088</v>
      </c>
    </row>
    <row r="37" spans="1:28" x14ac:dyDescent="0.25">
      <c r="A37" s="59" t="s">
        <v>7</v>
      </c>
      <c r="B37" s="77" t="s">
        <v>985</v>
      </c>
      <c r="C37" s="80">
        <f t="shared" ref="C37:Z37" si="10">SUM(C34:C36)</f>
        <v>1360</v>
      </c>
      <c r="D37" s="80">
        <f t="shared" si="10"/>
        <v>1700</v>
      </c>
      <c r="E37" s="80">
        <f t="shared" si="10"/>
        <v>2040</v>
      </c>
      <c r="F37" s="80">
        <f t="shared" si="10"/>
        <v>2548</v>
      </c>
      <c r="G37" s="80">
        <f t="shared" si="10"/>
        <v>2912</v>
      </c>
      <c r="H37" s="80">
        <f t="shared" si="10"/>
        <v>3276</v>
      </c>
      <c r="I37" s="80">
        <f t="shared" si="10"/>
        <v>3640</v>
      </c>
      <c r="J37" s="80">
        <f t="shared" si="10"/>
        <v>4004</v>
      </c>
      <c r="K37" s="80">
        <f t="shared" si="10"/>
        <v>4368</v>
      </c>
      <c r="L37" s="80">
        <f t="shared" si="10"/>
        <v>4732</v>
      </c>
      <c r="M37" s="80">
        <f t="shared" si="10"/>
        <v>5096</v>
      </c>
      <c r="N37" s="80">
        <f t="shared" si="10"/>
        <v>5460</v>
      </c>
      <c r="O37" s="80">
        <f t="shared" si="10"/>
        <v>6916</v>
      </c>
      <c r="P37" s="80">
        <f t="shared" si="10"/>
        <v>8736</v>
      </c>
      <c r="Q37" s="80">
        <f t="shared" si="10"/>
        <v>10920</v>
      </c>
      <c r="R37" s="80">
        <f t="shared" si="10"/>
        <v>13832</v>
      </c>
      <c r="S37" s="80">
        <f t="shared" si="10"/>
        <v>17108</v>
      </c>
      <c r="T37" s="80">
        <f t="shared" si="10"/>
        <v>21476</v>
      </c>
      <c r="U37" s="80">
        <f t="shared" si="10"/>
        <v>27300</v>
      </c>
      <c r="V37" s="80">
        <f t="shared" si="10"/>
        <v>34580</v>
      </c>
      <c r="W37" s="80">
        <f t="shared" si="10"/>
        <v>43680</v>
      </c>
      <c r="X37" s="80">
        <f t="shared" si="10"/>
        <v>54964</v>
      </c>
      <c r="Y37" s="80">
        <f t="shared" si="10"/>
        <v>69160</v>
      </c>
      <c r="Z37" s="80">
        <f t="shared" si="10"/>
        <v>86996</v>
      </c>
      <c r="AA37" s="68">
        <f t="shared" si="1"/>
        <v>41136</v>
      </c>
      <c r="AB37" s="68">
        <f t="shared" si="2"/>
        <v>395668</v>
      </c>
    </row>
    <row r="38" spans="1:28" x14ac:dyDescent="0.25">
      <c r="A38" s="59" t="s">
        <v>986</v>
      </c>
      <c r="B38" s="77" t="s">
        <v>987</v>
      </c>
      <c r="C38" s="81">
        <f t="shared" ref="C38:Z38" si="11">C33-C37</f>
        <v>23892</v>
      </c>
      <c r="D38" s="81">
        <f t="shared" si="11"/>
        <v>29865</v>
      </c>
      <c r="E38" s="81">
        <f t="shared" si="11"/>
        <v>35838</v>
      </c>
      <c r="F38" s="81">
        <f t="shared" si="11"/>
        <v>43323</v>
      </c>
      <c r="G38" s="81">
        <f t="shared" si="11"/>
        <v>49512</v>
      </c>
      <c r="H38" s="81">
        <f t="shared" si="11"/>
        <v>55701</v>
      </c>
      <c r="I38" s="81">
        <f t="shared" si="11"/>
        <v>61890</v>
      </c>
      <c r="J38" s="81">
        <f t="shared" si="11"/>
        <v>68079</v>
      </c>
      <c r="K38" s="81">
        <f t="shared" si="11"/>
        <v>74268</v>
      </c>
      <c r="L38" s="81">
        <f t="shared" si="11"/>
        <v>80457</v>
      </c>
      <c r="M38" s="81">
        <f t="shared" si="11"/>
        <v>86646</v>
      </c>
      <c r="N38" s="81">
        <f t="shared" si="11"/>
        <v>92835</v>
      </c>
      <c r="O38" s="81">
        <f t="shared" si="11"/>
        <v>117591</v>
      </c>
      <c r="P38" s="81">
        <f t="shared" si="11"/>
        <v>148536</v>
      </c>
      <c r="Q38" s="81">
        <f t="shared" si="11"/>
        <v>185670</v>
      </c>
      <c r="R38" s="81">
        <f t="shared" si="11"/>
        <v>235182</v>
      </c>
      <c r="S38" s="81">
        <f t="shared" si="11"/>
        <v>290883</v>
      </c>
      <c r="T38" s="81">
        <f t="shared" si="11"/>
        <v>365151</v>
      </c>
      <c r="U38" s="81">
        <f t="shared" si="11"/>
        <v>464175</v>
      </c>
      <c r="V38" s="81">
        <f t="shared" si="11"/>
        <v>587955</v>
      </c>
      <c r="W38" s="81">
        <f t="shared" si="11"/>
        <v>742680</v>
      </c>
      <c r="X38" s="81">
        <f t="shared" si="11"/>
        <v>934539</v>
      </c>
      <c r="Y38" s="81">
        <f t="shared" si="11"/>
        <v>1175910</v>
      </c>
      <c r="Z38" s="81">
        <f t="shared" si="11"/>
        <v>1479171</v>
      </c>
      <c r="AA38" s="68">
        <f t="shared" si="1"/>
        <v>702306</v>
      </c>
      <c r="AB38" s="68">
        <f t="shared" si="2"/>
        <v>6727443</v>
      </c>
    </row>
    <row r="39" spans="1:28" x14ac:dyDescent="0.25">
      <c r="A39" s="59" t="s">
        <v>986</v>
      </c>
      <c r="B39" s="77" t="s">
        <v>11</v>
      </c>
      <c r="C39" s="82">
        <f t="shared" ref="C39:Z39" si="12">IFERROR(IF(C33=0,0,C38/C33), 0)</f>
        <v>0.94614287977189926</v>
      </c>
      <c r="D39" s="82">
        <f t="shared" si="12"/>
        <v>0.94614287977189926</v>
      </c>
      <c r="E39" s="82">
        <f t="shared" si="12"/>
        <v>0.94614287977189926</v>
      </c>
      <c r="F39" s="82">
        <f t="shared" si="12"/>
        <v>0.94445292232565237</v>
      </c>
      <c r="G39" s="82">
        <f t="shared" si="12"/>
        <v>0.94445292232565237</v>
      </c>
      <c r="H39" s="82">
        <f t="shared" si="12"/>
        <v>0.94445292232565237</v>
      </c>
      <c r="I39" s="82">
        <f t="shared" si="12"/>
        <v>0.94445292232565237</v>
      </c>
      <c r="J39" s="82">
        <f t="shared" si="12"/>
        <v>0.94445292232565237</v>
      </c>
      <c r="K39" s="82">
        <f t="shared" si="12"/>
        <v>0.94445292232565237</v>
      </c>
      <c r="L39" s="82">
        <f t="shared" si="12"/>
        <v>0.94445292232565237</v>
      </c>
      <c r="M39" s="82">
        <f t="shared" si="12"/>
        <v>0.94445292232565237</v>
      </c>
      <c r="N39" s="82">
        <f t="shared" si="12"/>
        <v>0.94445292232565237</v>
      </c>
      <c r="O39" s="82">
        <f t="shared" si="12"/>
        <v>0.94445292232565237</v>
      </c>
      <c r="P39" s="82">
        <f t="shared" si="12"/>
        <v>0.94445292232565237</v>
      </c>
      <c r="Q39" s="82">
        <f t="shared" si="12"/>
        <v>0.94445292232565237</v>
      </c>
      <c r="R39" s="82">
        <f t="shared" si="12"/>
        <v>0.94445292232565237</v>
      </c>
      <c r="S39" s="82">
        <f t="shared" si="12"/>
        <v>0.94445292232565237</v>
      </c>
      <c r="T39" s="82">
        <f t="shared" si="12"/>
        <v>0.94445292232565237</v>
      </c>
      <c r="U39" s="82">
        <f t="shared" si="12"/>
        <v>0.94445292232565237</v>
      </c>
      <c r="V39" s="82">
        <f t="shared" si="12"/>
        <v>0.94445292232565237</v>
      </c>
      <c r="W39" s="82">
        <f t="shared" si="12"/>
        <v>0.94445292232565237</v>
      </c>
      <c r="X39" s="82">
        <f t="shared" si="12"/>
        <v>0.94445292232565237</v>
      </c>
      <c r="Y39" s="82">
        <f t="shared" si="12"/>
        <v>0.94445292232565237</v>
      </c>
      <c r="Z39" s="82">
        <f t="shared" si="12"/>
        <v>0.94445292232565237</v>
      </c>
      <c r="AA39" s="83">
        <f>AVERAGE(C39:N39)</f>
        <v>0.94487541168721412</v>
      </c>
      <c r="AB39" s="83">
        <f>AVERAGE(O39:Z39)</f>
        <v>0.94445292232565237</v>
      </c>
    </row>
    <row r="40" spans="1:28" x14ac:dyDescent="0.25">
      <c r="A40" s="59" t="s">
        <v>9</v>
      </c>
      <c r="B40" s="59" t="s">
        <v>988</v>
      </c>
      <c r="C40" s="79">
        <f>'Operating Expenses'!C56</f>
        <v>18989.5</v>
      </c>
      <c r="D40" s="79">
        <f>'Operating Expenses'!D56</f>
        <v>18989.5</v>
      </c>
      <c r="E40" s="79">
        <f>'Operating Expenses'!E56</f>
        <v>23793.666666666668</v>
      </c>
      <c r="F40" s="79">
        <f>'Operating Expenses'!F56</f>
        <v>23793.666666666668</v>
      </c>
      <c r="G40" s="79">
        <f>'Operating Expenses'!G56</f>
        <v>23793.666666666668</v>
      </c>
      <c r="H40" s="79">
        <f>'Operating Expenses'!H56</f>
        <v>23793.666666666668</v>
      </c>
      <c r="I40" s="79">
        <f>'Operating Expenses'!I56</f>
        <v>25177.26666666667</v>
      </c>
      <c r="J40" s="79">
        <f>'Operating Expenses'!J56</f>
        <v>25177.26666666667</v>
      </c>
      <c r="K40" s="79">
        <f>'Operating Expenses'!K56</f>
        <v>25177.26666666667</v>
      </c>
      <c r="L40" s="79">
        <f>'Operating Expenses'!L56</f>
        <v>25177.26666666667</v>
      </c>
      <c r="M40" s="79">
        <f>'Operating Expenses'!M56</f>
        <v>25177.26666666667</v>
      </c>
      <c r="N40" s="79">
        <f>'Operating Expenses'!N56</f>
        <v>25177.26666666667</v>
      </c>
      <c r="O40" s="79">
        <f>'Operating Expenses'!N56*1.1</f>
        <v>27694.993333333339</v>
      </c>
      <c r="P40" s="79">
        <f>'Operating Expenses'!N56*1.1</f>
        <v>27694.993333333339</v>
      </c>
      <c r="Q40" s="79">
        <f>'Operating Expenses'!N56*1.1</f>
        <v>27694.993333333339</v>
      </c>
      <c r="R40" s="79">
        <f>'Operating Expenses'!N56*1.1</f>
        <v>27694.993333333339</v>
      </c>
      <c r="S40" s="79">
        <f>'Operating Expenses'!N56*1.1</f>
        <v>27694.993333333339</v>
      </c>
      <c r="T40" s="79">
        <f>'Operating Expenses'!N56*1.1</f>
        <v>27694.993333333339</v>
      </c>
      <c r="U40" s="79">
        <f>'Operating Expenses'!N56*1.1</f>
        <v>27694.993333333339</v>
      </c>
      <c r="V40" s="79">
        <f>'Operating Expenses'!N56*1.1</f>
        <v>27694.993333333339</v>
      </c>
      <c r="W40" s="79">
        <f>'Operating Expenses'!N56*1.1</f>
        <v>27694.993333333339</v>
      </c>
      <c r="X40" s="79">
        <f>'Operating Expenses'!N56*1.1</f>
        <v>27694.993333333339</v>
      </c>
      <c r="Y40" s="79">
        <f>'Operating Expenses'!N56*1.1</f>
        <v>27694.993333333339</v>
      </c>
      <c r="Z40" s="79">
        <f>'Operating Expenses'!N56*1.1</f>
        <v>27694.993333333339</v>
      </c>
      <c r="AA40" s="68">
        <f>SUM(C40:N40)</f>
        <v>284217.26666666666</v>
      </c>
      <c r="AB40" s="68">
        <f>SUM(O40:Z40)</f>
        <v>332339.9200000001</v>
      </c>
    </row>
    <row r="41" spans="1:28" x14ac:dyDescent="0.25">
      <c r="A41" s="59" t="s">
        <v>986</v>
      </c>
      <c r="B41" s="77" t="s">
        <v>989</v>
      </c>
      <c r="C41" s="81">
        <f t="shared" ref="C41:Z41" si="13">C38-C40</f>
        <v>4902.5</v>
      </c>
      <c r="D41" s="81">
        <f t="shared" si="13"/>
        <v>10875.5</v>
      </c>
      <c r="E41" s="81">
        <f t="shared" si="13"/>
        <v>12044.333333333332</v>
      </c>
      <c r="F41" s="81">
        <f t="shared" si="13"/>
        <v>19529.333333333332</v>
      </c>
      <c r="G41" s="81">
        <f t="shared" si="13"/>
        <v>25718.333333333332</v>
      </c>
      <c r="H41" s="81">
        <f t="shared" si="13"/>
        <v>31907.333333333332</v>
      </c>
      <c r="I41" s="81">
        <f t="shared" si="13"/>
        <v>36712.73333333333</v>
      </c>
      <c r="J41" s="81">
        <f t="shared" si="13"/>
        <v>42901.73333333333</v>
      </c>
      <c r="K41" s="81">
        <f t="shared" si="13"/>
        <v>49090.73333333333</v>
      </c>
      <c r="L41" s="81">
        <f t="shared" si="13"/>
        <v>55279.73333333333</v>
      </c>
      <c r="M41" s="81">
        <f t="shared" si="13"/>
        <v>61468.73333333333</v>
      </c>
      <c r="N41" s="81">
        <f t="shared" si="13"/>
        <v>67657.733333333337</v>
      </c>
      <c r="O41" s="81">
        <f t="shared" si="13"/>
        <v>89896.006666666653</v>
      </c>
      <c r="P41" s="81">
        <f t="shared" si="13"/>
        <v>120841.00666666665</v>
      </c>
      <c r="Q41" s="81">
        <f t="shared" si="13"/>
        <v>157975.00666666665</v>
      </c>
      <c r="R41" s="81">
        <f t="shared" si="13"/>
        <v>207487.00666666665</v>
      </c>
      <c r="S41" s="81">
        <f t="shared" si="13"/>
        <v>263188.00666666665</v>
      </c>
      <c r="T41" s="81">
        <f t="shared" si="13"/>
        <v>337456.00666666665</v>
      </c>
      <c r="U41" s="81">
        <f t="shared" si="13"/>
        <v>436480.00666666665</v>
      </c>
      <c r="V41" s="81">
        <f t="shared" si="13"/>
        <v>560260.00666666671</v>
      </c>
      <c r="W41" s="81">
        <f t="shared" si="13"/>
        <v>714985.00666666671</v>
      </c>
      <c r="X41" s="81">
        <f t="shared" si="13"/>
        <v>906844.00666666671</v>
      </c>
      <c r="Y41" s="81">
        <f t="shared" si="13"/>
        <v>1148215.0066666666</v>
      </c>
      <c r="Z41" s="81">
        <f t="shared" si="13"/>
        <v>1451476.0066666666</v>
      </c>
      <c r="AA41" s="68">
        <f>SUM(C41:N41)</f>
        <v>418088.73333333334</v>
      </c>
      <c r="AB41" s="68">
        <f>SUM(O41:Z41)</f>
        <v>6395103.0800000001</v>
      </c>
    </row>
    <row r="42" spans="1:28" x14ac:dyDescent="0.25">
      <c r="A42" s="59" t="s">
        <v>986</v>
      </c>
      <c r="B42" s="77" t="s">
        <v>12</v>
      </c>
      <c r="C42" s="82">
        <f t="shared" ref="C42:Z42" si="14">IFERROR(IF(C33=0,0,C41/C33), 0)</f>
        <v>0.19414303817519404</v>
      </c>
      <c r="D42" s="82">
        <f t="shared" si="14"/>
        <v>0.34454300649453506</v>
      </c>
      <c r="E42" s="82">
        <f t="shared" si="14"/>
        <v>0.31797701392188954</v>
      </c>
      <c r="F42" s="82">
        <f t="shared" si="14"/>
        <v>0.42574466075152778</v>
      </c>
      <c r="G42" s="82">
        <f t="shared" si="14"/>
        <v>0.49058319344829338</v>
      </c>
      <c r="H42" s="82">
        <f t="shared" si="14"/>
        <v>0.54101316332355553</v>
      </c>
      <c r="I42" s="82">
        <f t="shared" si="14"/>
        <v>0.56024314563304334</v>
      </c>
      <c r="J42" s="82">
        <f t="shared" si="14"/>
        <v>0.59517130715055322</v>
      </c>
      <c r="K42" s="82">
        <f t="shared" si="14"/>
        <v>0.62427810841514486</v>
      </c>
      <c r="L42" s="82">
        <f t="shared" si="14"/>
        <v>0.64890694025441464</v>
      </c>
      <c r="M42" s="82">
        <f t="shared" si="14"/>
        <v>0.67001736754521735</v>
      </c>
      <c r="N42" s="82">
        <f t="shared" si="14"/>
        <v>0.68831307119724638</v>
      </c>
      <c r="O42" s="82">
        <f t="shared" si="14"/>
        <v>0.72201568318782605</v>
      </c>
      <c r="P42" s="82">
        <f t="shared" si="14"/>
        <v>0.76835677467487318</v>
      </c>
      <c r="Q42" s="82">
        <f t="shared" si="14"/>
        <v>0.80357600420502906</v>
      </c>
      <c r="R42" s="82">
        <f t="shared" si="14"/>
        <v>0.83323430275673915</v>
      </c>
      <c r="S42" s="82">
        <f t="shared" si="14"/>
        <v>0.85453148522738209</v>
      </c>
      <c r="T42" s="82">
        <f t="shared" si="14"/>
        <v>0.87282059107787779</v>
      </c>
      <c r="U42" s="82">
        <f t="shared" si="14"/>
        <v>0.88810215507740298</v>
      </c>
      <c r="V42" s="82">
        <f t="shared" si="14"/>
        <v>0.89996547449808717</v>
      </c>
      <c r="W42" s="82">
        <f t="shared" si="14"/>
        <v>0.9092336927954966</v>
      </c>
      <c r="X42" s="82">
        <f t="shared" si="14"/>
        <v>0.91646413064605836</v>
      </c>
      <c r="Y42" s="82">
        <f t="shared" si="14"/>
        <v>0.92220919841186966</v>
      </c>
      <c r="Z42" s="82">
        <f t="shared" si="14"/>
        <v>0.92676962716406786</v>
      </c>
      <c r="AA42" s="83">
        <f>AVERAGE(C42:N42)</f>
        <v>0.5084111680258846</v>
      </c>
      <c r="AB42" s="83">
        <f>AVERAGE(O42:Z42)</f>
        <v>0.85977325997689258</v>
      </c>
    </row>
    <row r="45" spans="1:28" ht="18.75" customHeight="1" x14ac:dyDescent="0.3">
      <c r="A45" s="54" t="s">
        <v>990</v>
      </c>
    </row>
    <row r="47" spans="1:28" x14ac:dyDescent="0.25">
      <c r="A47" s="64" t="s">
        <v>88</v>
      </c>
      <c r="B47" s="64" t="s">
        <v>451</v>
      </c>
      <c r="C47" s="64" t="s">
        <v>455</v>
      </c>
      <c r="D47" s="64" t="s">
        <v>64</v>
      </c>
    </row>
    <row r="48" spans="1:28" x14ac:dyDescent="0.25">
      <c r="A48" s="59" t="s">
        <v>3</v>
      </c>
      <c r="B48" s="67">
        <f>AA33</f>
        <v>743442</v>
      </c>
      <c r="C48" s="67">
        <f>C33</f>
        <v>25252</v>
      </c>
      <c r="D48" s="59" t="s">
        <v>991</v>
      </c>
    </row>
    <row r="49" spans="1:4" x14ac:dyDescent="0.25">
      <c r="A49" s="59" t="s">
        <v>992</v>
      </c>
      <c r="B49" s="67">
        <f>AA37</f>
        <v>41136</v>
      </c>
      <c r="C49" s="67">
        <f>AB37</f>
        <v>395668</v>
      </c>
      <c r="D49" s="59" t="s">
        <v>993</v>
      </c>
    </row>
    <row r="50" spans="1:4" x14ac:dyDescent="0.25">
      <c r="A50" s="59" t="s">
        <v>8</v>
      </c>
      <c r="B50" s="67">
        <f>AA38</f>
        <v>702306</v>
      </c>
      <c r="C50" s="67">
        <f>C38</f>
        <v>23892</v>
      </c>
      <c r="D50" s="59" t="s">
        <v>994</v>
      </c>
    </row>
    <row r="51" spans="1:4" x14ac:dyDescent="0.25">
      <c r="A51" s="59" t="s">
        <v>995</v>
      </c>
      <c r="B51" s="84">
        <f>AA39</f>
        <v>0.94487541168721412</v>
      </c>
      <c r="C51" s="84">
        <f>AB39</f>
        <v>0.94445292232565237</v>
      </c>
      <c r="D51" s="59" t="s">
        <v>996</v>
      </c>
    </row>
    <row r="52" spans="1:4" x14ac:dyDescent="0.25">
      <c r="A52" s="59" t="s">
        <v>988</v>
      </c>
      <c r="B52" s="67">
        <f>AA40</f>
        <v>284217.26666666666</v>
      </c>
      <c r="C52" s="67">
        <f>C40</f>
        <v>18989.5</v>
      </c>
      <c r="D52" s="59" t="s">
        <v>997</v>
      </c>
    </row>
    <row r="53" spans="1:4" x14ac:dyDescent="0.25">
      <c r="A53" s="59" t="s">
        <v>998</v>
      </c>
      <c r="B53" s="67">
        <f>AA41</f>
        <v>418088.73333333334</v>
      </c>
      <c r="C53" s="67">
        <f>C41</f>
        <v>4902.5</v>
      </c>
      <c r="D53" s="59" t="s">
        <v>999</v>
      </c>
    </row>
    <row r="54" spans="1:4" x14ac:dyDescent="0.25">
      <c r="A54" s="59" t="s">
        <v>1000</v>
      </c>
      <c r="B54" s="84">
        <f>AA42</f>
        <v>0.5084111680258846</v>
      </c>
      <c r="C54" s="84">
        <f>AB42</f>
        <v>0.85977325997689258</v>
      </c>
      <c r="D54" s="59" t="s">
        <v>1001</v>
      </c>
    </row>
    <row r="55" spans="1:4" x14ac:dyDescent="0.25">
      <c r="A55" s="102" t="s">
        <v>1002</v>
      </c>
      <c r="B55" s="74">
        <f>AA28</f>
        <v>15</v>
      </c>
      <c r="C55" s="74">
        <f>AB28</f>
        <v>239</v>
      </c>
      <c r="D55" s="59" t="s">
        <v>1003</v>
      </c>
    </row>
    <row r="56" spans="1:4" x14ac:dyDescent="0.25">
      <c r="A56" t="s">
        <v>1004</v>
      </c>
    </row>
    <row r="57" spans="1:4" x14ac:dyDescent="0.25">
      <c r="A57" t="s">
        <v>1005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40"/>
  <sheetViews>
    <sheetView workbookViewId="0">
      <selection activeCell="D19" sqref="D19"/>
    </sheetView>
  </sheetViews>
  <sheetFormatPr defaultRowHeight="15" x14ac:dyDescent="0.25"/>
  <cols>
    <col min="1" max="1" width="51.7109375" bestFit="1" customWidth="1"/>
    <col min="2" max="2" width="22.7109375" bestFit="1" customWidth="1"/>
    <col min="3" max="3" width="36.140625" bestFit="1" customWidth="1"/>
    <col min="4" max="4" width="44.28515625" bestFit="1" customWidth="1"/>
    <col min="5" max="5" width="8.5703125" bestFit="1" customWidth="1"/>
    <col min="6" max="28" width="11" customWidth="1"/>
  </cols>
  <sheetData>
    <row r="1" spans="1:28" ht="18.75" customHeight="1" x14ac:dyDescent="0.3">
      <c r="A1" s="54" t="s">
        <v>1006</v>
      </c>
    </row>
    <row r="2" spans="1:28" x14ac:dyDescent="0.25">
      <c r="A2" t="s">
        <v>1007</v>
      </c>
    </row>
    <row r="3" spans="1:28" x14ac:dyDescent="0.25">
      <c r="A3" t="s">
        <v>889</v>
      </c>
    </row>
    <row r="5" spans="1:28" x14ac:dyDescent="0.25">
      <c r="A5" s="63" t="s">
        <v>1008</v>
      </c>
    </row>
    <row r="6" spans="1:28" x14ac:dyDescent="0.25">
      <c r="A6" s="64" t="s">
        <v>536</v>
      </c>
      <c r="B6" s="64" t="s">
        <v>218</v>
      </c>
      <c r="C6" s="64" t="s">
        <v>63</v>
      </c>
      <c r="D6" s="64" t="s">
        <v>64</v>
      </c>
    </row>
    <row r="7" spans="1:28" x14ac:dyDescent="0.25">
      <c r="A7" s="59" t="s">
        <v>1009</v>
      </c>
      <c r="B7" s="103">
        <f>'Startup Costs-Led BuildWA'!B90</f>
        <v>187974</v>
      </c>
      <c r="C7" s="59" t="s">
        <v>82</v>
      </c>
      <c r="D7" s="59" t="s">
        <v>1010</v>
      </c>
    </row>
    <row r="8" spans="1:28" x14ac:dyDescent="0.25">
      <c r="A8" s="59" t="s">
        <v>1011</v>
      </c>
      <c r="B8" s="72">
        <v>30</v>
      </c>
      <c r="C8" s="59" t="s">
        <v>264</v>
      </c>
      <c r="D8" s="59" t="s">
        <v>1012</v>
      </c>
    </row>
    <row r="9" spans="1:28" x14ac:dyDescent="0.25">
      <c r="A9" s="59" t="s">
        <v>1013</v>
      </c>
      <c r="B9" s="72">
        <v>0.95</v>
      </c>
      <c r="C9" s="59" t="s">
        <v>69</v>
      </c>
      <c r="D9" s="59" t="s">
        <v>1014</v>
      </c>
    </row>
    <row r="12" spans="1:28" ht="18.75" customHeight="1" x14ac:dyDescent="0.3">
      <c r="A12" s="54" t="s">
        <v>1015</v>
      </c>
    </row>
    <row r="13" spans="1:28" x14ac:dyDescent="0.25">
      <c r="C13" s="85" t="s">
        <v>979</v>
      </c>
      <c r="O13" s="85" t="s">
        <v>980</v>
      </c>
    </row>
    <row r="14" spans="1:28" x14ac:dyDescent="0.25">
      <c r="A14" s="64" t="s">
        <v>1016</v>
      </c>
      <c r="B14" s="64" t="s">
        <v>624</v>
      </c>
      <c r="C14" s="66" t="s">
        <v>13</v>
      </c>
      <c r="D14" s="66" t="s">
        <v>14</v>
      </c>
      <c r="E14" s="66" t="s">
        <v>15</v>
      </c>
      <c r="F14" s="66" t="s">
        <v>16</v>
      </c>
      <c r="G14" s="66" t="s">
        <v>17</v>
      </c>
      <c r="H14" s="66" t="s">
        <v>18</v>
      </c>
      <c r="I14" s="66" t="s">
        <v>19</v>
      </c>
      <c r="J14" s="66" t="s">
        <v>20</v>
      </c>
      <c r="K14" s="66" t="s">
        <v>21</v>
      </c>
      <c r="L14" s="66" t="s">
        <v>22</v>
      </c>
      <c r="M14" s="66" t="s">
        <v>23</v>
      </c>
      <c r="N14" s="66" t="s">
        <v>24</v>
      </c>
      <c r="O14" s="66" t="s">
        <v>25</v>
      </c>
      <c r="P14" s="66" t="s">
        <v>26</v>
      </c>
      <c r="Q14" s="66" t="s">
        <v>27</v>
      </c>
      <c r="R14" s="66" t="s">
        <v>28</v>
      </c>
      <c r="S14" s="66" t="s">
        <v>29</v>
      </c>
      <c r="T14" s="66" t="s">
        <v>30</v>
      </c>
      <c r="U14" s="66" t="s">
        <v>31</v>
      </c>
      <c r="V14" s="66" t="s">
        <v>32</v>
      </c>
      <c r="W14" s="66" t="s">
        <v>33</v>
      </c>
      <c r="X14" s="66" t="s">
        <v>34</v>
      </c>
      <c r="Y14" s="66" t="s">
        <v>35</v>
      </c>
      <c r="Z14" s="66" t="s">
        <v>36</v>
      </c>
      <c r="AA14" s="64" t="s">
        <v>931</v>
      </c>
      <c r="AB14" s="64" t="s">
        <v>981</v>
      </c>
    </row>
    <row r="15" spans="1:28" x14ac:dyDescent="0.25">
      <c r="A15" s="59" t="s">
        <v>1017</v>
      </c>
      <c r="B15" s="77" t="s">
        <v>1018</v>
      </c>
      <c r="C15" s="86">
        <f>$B$7</f>
        <v>187974</v>
      </c>
      <c r="D15" s="86">
        <f t="shared" ref="D15:Z15" si="0">C24</f>
        <v>92624.5</v>
      </c>
      <c r="E15" s="86">
        <f t="shared" si="0"/>
        <v>95924.4</v>
      </c>
      <c r="F15" s="86">
        <f t="shared" si="0"/>
        <v>100077.48333333332</v>
      </c>
      <c r="G15" s="86">
        <f t="shared" si="0"/>
        <v>109719.91666666666</v>
      </c>
      <c r="H15" s="86">
        <f t="shared" si="0"/>
        <v>126591.69999999998</v>
      </c>
      <c r="I15" s="86">
        <f t="shared" si="0"/>
        <v>149324.83333333331</v>
      </c>
      <c r="J15" s="86">
        <f t="shared" si="0"/>
        <v>176535.71666666665</v>
      </c>
      <c r="K15" s="86">
        <f t="shared" si="0"/>
        <v>209607.94999999998</v>
      </c>
      <c r="L15" s="86">
        <f t="shared" si="0"/>
        <v>248541.5333333333</v>
      </c>
      <c r="M15" s="86">
        <f t="shared" si="0"/>
        <v>293336.46666666662</v>
      </c>
      <c r="N15" s="86">
        <f t="shared" si="0"/>
        <v>343992.74999999994</v>
      </c>
      <c r="O15" s="86">
        <f t="shared" si="0"/>
        <v>400510.38333333324</v>
      </c>
      <c r="P15" s="86">
        <f t="shared" si="0"/>
        <v>459279.6399999999</v>
      </c>
      <c r="Q15" s="86">
        <f t="shared" si="0"/>
        <v>541130.29666666652</v>
      </c>
      <c r="R15" s="86">
        <f t="shared" si="0"/>
        <v>651923.70333333313</v>
      </c>
      <c r="S15" s="86">
        <f t="shared" si="0"/>
        <v>797157.20999999973</v>
      </c>
      <c r="T15" s="86">
        <f t="shared" si="0"/>
        <v>988917.51666666637</v>
      </c>
      <c r="U15" s="86">
        <f t="shared" si="0"/>
        <v>1232337.9733333332</v>
      </c>
      <c r="V15" s="86">
        <f t="shared" si="0"/>
        <v>1544638.63</v>
      </c>
      <c r="W15" s="86">
        <f t="shared" si="0"/>
        <v>1949264.8866666665</v>
      </c>
      <c r="X15" s="86">
        <f t="shared" si="0"/>
        <v>2469298.1433333331</v>
      </c>
      <c r="Y15" s="86">
        <f t="shared" si="0"/>
        <v>3133681.1499999994</v>
      </c>
      <c r="Z15" s="86">
        <f t="shared" si="0"/>
        <v>3976854.0066666659</v>
      </c>
      <c r="AA15" s="68">
        <f>N15</f>
        <v>343992.74999999994</v>
      </c>
      <c r="AB15" s="68">
        <f>Z15</f>
        <v>3976854.0066666659</v>
      </c>
    </row>
    <row r="16" spans="1:28" x14ac:dyDescent="0.25">
      <c r="A16" s="59" t="s">
        <v>1019</v>
      </c>
      <c r="B16" s="59" t="s">
        <v>1020</v>
      </c>
      <c r="C16" s="67">
        <v>0</v>
      </c>
      <c r="D16" s="67">
        <f>'P&amp;L'!C33*$B$9</f>
        <v>23989.399999999998</v>
      </c>
      <c r="E16" s="67">
        <f>'P&amp;L'!D33*$B$9</f>
        <v>29986.75</v>
      </c>
      <c r="F16" s="67">
        <f>'P&amp;L'!E33*$B$9</f>
        <v>35984.1</v>
      </c>
      <c r="G16" s="67">
        <f>'P&amp;L'!F33*$B$9</f>
        <v>43577.45</v>
      </c>
      <c r="H16" s="67">
        <f>'P&amp;L'!G33*$B$9</f>
        <v>49802.799999999996</v>
      </c>
      <c r="I16" s="67">
        <f>'P&amp;L'!H33*$B$9</f>
        <v>56028.149999999994</v>
      </c>
      <c r="J16" s="67">
        <f>'P&amp;L'!I33*$B$9</f>
        <v>62253.5</v>
      </c>
      <c r="K16" s="67">
        <f>'P&amp;L'!J33*$B$9</f>
        <v>68478.849999999991</v>
      </c>
      <c r="L16" s="67">
        <f>'P&amp;L'!K33*$B$9</f>
        <v>74704.2</v>
      </c>
      <c r="M16" s="67">
        <f>'P&amp;L'!L33*$B$9</f>
        <v>80929.55</v>
      </c>
      <c r="N16" s="67">
        <f>'P&amp;L'!M33*$B$9</f>
        <v>87154.9</v>
      </c>
      <c r="O16" s="67">
        <f>'P&amp;L'!N33*$B$9</f>
        <v>93380.25</v>
      </c>
      <c r="P16" s="67">
        <f>'P&amp;L'!O33*$B$9</f>
        <v>118281.65</v>
      </c>
      <c r="Q16" s="67">
        <f>'P&amp;L'!P33*$B$9</f>
        <v>149408.4</v>
      </c>
      <c r="R16" s="67">
        <f>'P&amp;L'!Q33*$B$9</f>
        <v>186760.5</v>
      </c>
      <c r="S16" s="67">
        <f>'P&amp;L'!R33*$B$9</f>
        <v>236563.3</v>
      </c>
      <c r="T16" s="67">
        <f>'P&amp;L'!S33*$B$9</f>
        <v>292591.45</v>
      </c>
      <c r="U16" s="67">
        <f>'P&amp;L'!T33*$B$9</f>
        <v>367295.64999999997</v>
      </c>
      <c r="V16" s="67">
        <f>'P&amp;L'!U33*$B$9</f>
        <v>466901.25</v>
      </c>
      <c r="W16" s="67">
        <f>'P&amp;L'!V33*$B$9</f>
        <v>591408.25</v>
      </c>
      <c r="X16" s="67">
        <f>'P&amp;L'!W33*$B$9</f>
        <v>747042</v>
      </c>
      <c r="Y16" s="67">
        <f>'P&amp;L'!X33*$B$9</f>
        <v>940027.85</v>
      </c>
      <c r="Z16" s="67">
        <f>'P&amp;L'!Y33*$B$9</f>
        <v>1182816.5</v>
      </c>
      <c r="AA16" s="68">
        <f t="shared" ref="AA16:AA23" si="1">SUM(C16:N16)</f>
        <v>612889.65</v>
      </c>
      <c r="AB16" s="68">
        <f t="shared" ref="AB16:AB23" si="2">SUM(O16:Z16)</f>
        <v>5372477.0500000007</v>
      </c>
    </row>
    <row r="17" spans="1:28" x14ac:dyDescent="0.25">
      <c r="A17" s="59" t="s">
        <v>1019</v>
      </c>
      <c r="B17" s="59" t="s">
        <v>1021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v>0</v>
      </c>
      <c r="Q17" s="67">
        <v>0</v>
      </c>
      <c r="R17" s="67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8">
        <f t="shared" si="1"/>
        <v>0</v>
      </c>
      <c r="AB17" s="68">
        <f t="shared" si="2"/>
        <v>0</v>
      </c>
    </row>
    <row r="18" spans="1:28" x14ac:dyDescent="0.25">
      <c r="A18" s="59" t="s">
        <v>1019</v>
      </c>
      <c r="B18" s="77" t="s">
        <v>1022</v>
      </c>
      <c r="C18" s="86">
        <f t="shared" ref="C18:Z18" si="3">C16+C17</f>
        <v>0</v>
      </c>
      <c r="D18" s="86">
        <f t="shared" si="3"/>
        <v>23989.399999999998</v>
      </c>
      <c r="E18" s="86">
        <f t="shared" si="3"/>
        <v>29986.75</v>
      </c>
      <c r="F18" s="86">
        <f t="shared" si="3"/>
        <v>35984.1</v>
      </c>
      <c r="G18" s="86">
        <f t="shared" si="3"/>
        <v>43577.45</v>
      </c>
      <c r="H18" s="86">
        <f t="shared" si="3"/>
        <v>49802.799999999996</v>
      </c>
      <c r="I18" s="86">
        <f t="shared" si="3"/>
        <v>56028.149999999994</v>
      </c>
      <c r="J18" s="86">
        <f t="shared" si="3"/>
        <v>62253.5</v>
      </c>
      <c r="K18" s="86">
        <f t="shared" si="3"/>
        <v>68478.849999999991</v>
      </c>
      <c r="L18" s="86">
        <f t="shared" si="3"/>
        <v>74704.2</v>
      </c>
      <c r="M18" s="86">
        <f t="shared" si="3"/>
        <v>80929.55</v>
      </c>
      <c r="N18" s="86">
        <f t="shared" si="3"/>
        <v>87154.9</v>
      </c>
      <c r="O18" s="86">
        <f t="shared" si="3"/>
        <v>93380.25</v>
      </c>
      <c r="P18" s="86">
        <f t="shared" si="3"/>
        <v>118281.65</v>
      </c>
      <c r="Q18" s="86">
        <f t="shared" si="3"/>
        <v>149408.4</v>
      </c>
      <c r="R18" s="86">
        <f t="shared" si="3"/>
        <v>186760.5</v>
      </c>
      <c r="S18" s="86">
        <f t="shared" si="3"/>
        <v>236563.3</v>
      </c>
      <c r="T18" s="86">
        <f t="shared" si="3"/>
        <v>292591.45</v>
      </c>
      <c r="U18" s="86">
        <f t="shared" si="3"/>
        <v>367295.64999999997</v>
      </c>
      <c r="V18" s="86">
        <f t="shared" si="3"/>
        <v>466901.25</v>
      </c>
      <c r="W18" s="86">
        <f t="shared" si="3"/>
        <v>591408.25</v>
      </c>
      <c r="X18" s="86">
        <f t="shared" si="3"/>
        <v>747042</v>
      </c>
      <c r="Y18" s="86">
        <f t="shared" si="3"/>
        <v>940027.85</v>
      </c>
      <c r="Z18" s="86">
        <f t="shared" si="3"/>
        <v>1182816.5</v>
      </c>
      <c r="AA18" s="68">
        <f t="shared" si="1"/>
        <v>612889.65</v>
      </c>
      <c r="AB18" s="68">
        <f t="shared" si="2"/>
        <v>5372477.0500000007</v>
      </c>
    </row>
    <row r="19" spans="1:28" x14ac:dyDescent="0.25">
      <c r="A19" s="59" t="s">
        <v>529</v>
      </c>
      <c r="B19" s="59" t="s">
        <v>1023</v>
      </c>
      <c r="C19" s="67">
        <f>'P&amp;L'!C37</f>
        <v>1360</v>
      </c>
      <c r="D19" s="67">
        <f>'P&amp;L'!D37</f>
        <v>1700</v>
      </c>
      <c r="E19" s="67">
        <f>'P&amp;L'!E37</f>
        <v>2040</v>
      </c>
      <c r="F19" s="67">
        <f>'P&amp;L'!F37</f>
        <v>2548</v>
      </c>
      <c r="G19" s="67">
        <f>'P&amp;L'!G37</f>
        <v>2912</v>
      </c>
      <c r="H19" s="67">
        <f>'P&amp;L'!H37</f>
        <v>3276</v>
      </c>
      <c r="I19" s="67">
        <f>'P&amp;L'!I37</f>
        <v>3640</v>
      </c>
      <c r="J19" s="67">
        <f>'P&amp;L'!J37</f>
        <v>4004</v>
      </c>
      <c r="K19" s="67">
        <f>'P&amp;L'!K37</f>
        <v>4368</v>
      </c>
      <c r="L19" s="67">
        <f>'P&amp;L'!L37</f>
        <v>4732</v>
      </c>
      <c r="M19" s="67">
        <f>'P&amp;L'!M37</f>
        <v>5096</v>
      </c>
      <c r="N19" s="67">
        <f>'P&amp;L'!N37</f>
        <v>5460</v>
      </c>
      <c r="O19" s="67">
        <f>'P&amp;L'!O37</f>
        <v>6916</v>
      </c>
      <c r="P19" s="67">
        <f>'P&amp;L'!P37</f>
        <v>8736</v>
      </c>
      <c r="Q19" s="67">
        <f>'P&amp;L'!Q37</f>
        <v>10920</v>
      </c>
      <c r="R19" s="67">
        <f>'P&amp;L'!R37</f>
        <v>13832</v>
      </c>
      <c r="S19" s="67">
        <f>'P&amp;L'!S37</f>
        <v>17108</v>
      </c>
      <c r="T19" s="67">
        <f>'P&amp;L'!T37</f>
        <v>21476</v>
      </c>
      <c r="U19" s="67">
        <f>'P&amp;L'!U37</f>
        <v>27300</v>
      </c>
      <c r="V19" s="67">
        <f>'P&amp;L'!V37</f>
        <v>34580</v>
      </c>
      <c r="W19" s="67">
        <f>'P&amp;L'!W37</f>
        <v>43680</v>
      </c>
      <c r="X19" s="67">
        <f>'P&amp;L'!X37</f>
        <v>54964</v>
      </c>
      <c r="Y19" s="67">
        <f>'P&amp;L'!Y37</f>
        <v>69160</v>
      </c>
      <c r="Z19" s="67">
        <f>'P&amp;L'!Z37</f>
        <v>86996</v>
      </c>
      <c r="AA19" s="68">
        <f t="shared" si="1"/>
        <v>41136</v>
      </c>
      <c r="AB19" s="68">
        <f t="shared" si="2"/>
        <v>395668</v>
      </c>
    </row>
    <row r="20" spans="1:28" x14ac:dyDescent="0.25">
      <c r="A20" s="59" t="s">
        <v>529</v>
      </c>
      <c r="B20" s="59" t="s">
        <v>988</v>
      </c>
      <c r="C20" s="67">
        <f>'P&amp;L'!C40</f>
        <v>18989.5</v>
      </c>
      <c r="D20" s="67">
        <f>'P&amp;L'!D40</f>
        <v>18989.5</v>
      </c>
      <c r="E20" s="67">
        <f>'P&amp;L'!E40</f>
        <v>23793.666666666668</v>
      </c>
      <c r="F20" s="67">
        <f>'P&amp;L'!F40</f>
        <v>23793.666666666668</v>
      </c>
      <c r="G20" s="67">
        <f>'P&amp;L'!G40</f>
        <v>23793.666666666668</v>
      </c>
      <c r="H20" s="67">
        <f>'P&amp;L'!H40</f>
        <v>23793.666666666668</v>
      </c>
      <c r="I20" s="67">
        <f>'P&amp;L'!I40</f>
        <v>25177.26666666667</v>
      </c>
      <c r="J20" s="67">
        <f>'P&amp;L'!J40</f>
        <v>25177.26666666667</v>
      </c>
      <c r="K20" s="67">
        <f>'P&amp;L'!K40</f>
        <v>25177.26666666667</v>
      </c>
      <c r="L20" s="67">
        <f>'P&amp;L'!L40</f>
        <v>25177.26666666667</v>
      </c>
      <c r="M20" s="67">
        <f>'P&amp;L'!M40</f>
        <v>25177.26666666667</v>
      </c>
      <c r="N20" s="67">
        <f>'P&amp;L'!N40</f>
        <v>25177.26666666667</v>
      </c>
      <c r="O20" s="67">
        <f>'P&amp;L'!O40</f>
        <v>27694.993333333339</v>
      </c>
      <c r="P20" s="67">
        <f>'P&amp;L'!P40</f>
        <v>27694.993333333339</v>
      </c>
      <c r="Q20" s="67">
        <f>'P&amp;L'!Q40</f>
        <v>27694.993333333339</v>
      </c>
      <c r="R20" s="67">
        <f>'P&amp;L'!R40</f>
        <v>27694.993333333339</v>
      </c>
      <c r="S20" s="67">
        <f>'P&amp;L'!S40</f>
        <v>27694.993333333339</v>
      </c>
      <c r="T20" s="67">
        <f>'P&amp;L'!T40</f>
        <v>27694.993333333339</v>
      </c>
      <c r="U20" s="67">
        <f>'P&amp;L'!U40</f>
        <v>27694.993333333339</v>
      </c>
      <c r="V20" s="67">
        <f>'P&amp;L'!V40</f>
        <v>27694.993333333339</v>
      </c>
      <c r="W20" s="67">
        <f>'P&amp;L'!W40</f>
        <v>27694.993333333339</v>
      </c>
      <c r="X20" s="67">
        <f>'P&amp;L'!X40</f>
        <v>27694.993333333339</v>
      </c>
      <c r="Y20" s="67">
        <f>'P&amp;L'!Y40</f>
        <v>27694.993333333339</v>
      </c>
      <c r="Z20" s="67">
        <f>'P&amp;L'!Z40</f>
        <v>27694.993333333339</v>
      </c>
      <c r="AA20" s="68">
        <f t="shared" si="1"/>
        <v>284217.26666666666</v>
      </c>
      <c r="AB20" s="68">
        <f t="shared" si="2"/>
        <v>332339.9200000001</v>
      </c>
    </row>
    <row r="21" spans="1:28" x14ac:dyDescent="0.25">
      <c r="A21" s="59" t="s">
        <v>529</v>
      </c>
      <c r="B21" s="59" t="s">
        <v>1024</v>
      </c>
      <c r="C21" s="67">
        <f>Assumptions!B223</f>
        <v>75000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8">
        <f t="shared" si="1"/>
        <v>75000</v>
      </c>
      <c r="AB21" s="68">
        <f t="shared" si="2"/>
        <v>0</v>
      </c>
    </row>
    <row r="22" spans="1:28" x14ac:dyDescent="0.25">
      <c r="A22" s="59" t="s">
        <v>529</v>
      </c>
      <c r="B22" s="77" t="s">
        <v>1025</v>
      </c>
      <c r="C22" s="86">
        <f t="shared" ref="C22:Z22" si="4">C19+C20+C21</f>
        <v>95349.5</v>
      </c>
      <c r="D22" s="86">
        <f t="shared" si="4"/>
        <v>20689.5</v>
      </c>
      <c r="E22" s="86">
        <f t="shared" si="4"/>
        <v>25833.666666666668</v>
      </c>
      <c r="F22" s="86">
        <f t="shared" si="4"/>
        <v>26341.666666666668</v>
      </c>
      <c r="G22" s="86">
        <f t="shared" si="4"/>
        <v>26705.666666666668</v>
      </c>
      <c r="H22" s="86">
        <f t="shared" si="4"/>
        <v>27069.666666666668</v>
      </c>
      <c r="I22" s="86">
        <f t="shared" si="4"/>
        <v>28817.26666666667</v>
      </c>
      <c r="J22" s="86">
        <f t="shared" si="4"/>
        <v>29181.26666666667</v>
      </c>
      <c r="K22" s="86">
        <f t="shared" si="4"/>
        <v>29545.26666666667</v>
      </c>
      <c r="L22" s="86">
        <f t="shared" si="4"/>
        <v>29909.26666666667</v>
      </c>
      <c r="M22" s="86">
        <f t="shared" si="4"/>
        <v>30273.26666666667</v>
      </c>
      <c r="N22" s="86">
        <f t="shared" si="4"/>
        <v>30637.26666666667</v>
      </c>
      <c r="O22" s="86">
        <f t="shared" si="4"/>
        <v>34610.993333333339</v>
      </c>
      <c r="P22" s="86">
        <f t="shared" si="4"/>
        <v>36430.993333333339</v>
      </c>
      <c r="Q22" s="86">
        <f t="shared" si="4"/>
        <v>38614.993333333339</v>
      </c>
      <c r="R22" s="86">
        <f t="shared" si="4"/>
        <v>41526.993333333339</v>
      </c>
      <c r="S22" s="86">
        <f t="shared" si="4"/>
        <v>44802.993333333339</v>
      </c>
      <c r="T22" s="86">
        <f t="shared" si="4"/>
        <v>49170.993333333339</v>
      </c>
      <c r="U22" s="86">
        <f t="shared" si="4"/>
        <v>54994.993333333339</v>
      </c>
      <c r="V22" s="86">
        <f t="shared" si="4"/>
        <v>62274.993333333339</v>
      </c>
      <c r="W22" s="86">
        <f t="shared" si="4"/>
        <v>71374.993333333347</v>
      </c>
      <c r="X22" s="86">
        <f t="shared" si="4"/>
        <v>82658.993333333347</v>
      </c>
      <c r="Y22" s="86">
        <f t="shared" si="4"/>
        <v>96854.993333333347</v>
      </c>
      <c r="Z22" s="86">
        <f t="shared" si="4"/>
        <v>114690.99333333335</v>
      </c>
      <c r="AA22" s="68">
        <f t="shared" si="1"/>
        <v>400353.2666666666</v>
      </c>
      <c r="AB22" s="68">
        <f t="shared" si="2"/>
        <v>728007.92000000016</v>
      </c>
    </row>
    <row r="23" spans="1:28" x14ac:dyDescent="0.25">
      <c r="A23" s="59" t="s">
        <v>1026</v>
      </c>
      <c r="B23" s="77" t="s">
        <v>1027</v>
      </c>
      <c r="C23" s="86">
        <f t="shared" ref="C23:Z23" si="5">C18-C22</f>
        <v>-95349.5</v>
      </c>
      <c r="D23" s="86">
        <f t="shared" si="5"/>
        <v>3299.8999999999978</v>
      </c>
      <c r="E23" s="86">
        <f t="shared" si="5"/>
        <v>4153.0833333333321</v>
      </c>
      <c r="F23" s="86">
        <f t="shared" si="5"/>
        <v>9642.4333333333307</v>
      </c>
      <c r="G23" s="86">
        <f t="shared" si="5"/>
        <v>16871.783333333329</v>
      </c>
      <c r="H23" s="86">
        <f t="shared" si="5"/>
        <v>22733.133333333328</v>
      </c>
      <c r="I23" s="86">
        <f t="shared" si="5"/>
        <v>27210.883333333324</v>
      </c>
      <c r="J23" s="86">
        <f t="shared" si="5"/>
        <v>33072.23333333333</v>
      </c>
      <c r="K23" s="86">
        <f t="shared" si="5"/>
        <v>38933.583333333321</v>
      </c>
      <c r="L23" s="86">
        <f t="shared" si="5"/>
        <v>44794.933333333327</v>
      </c>
      <c r="M23" s="86">
        <f t="shared" si="5"/>
        <v>50656.283333333333</v>
      </c>
      <c r="N23" s="86">
        <f t="shared" si="5"/>
        <v>56517.633333333324</v>
      </c>
      <c r="O23" s="86">
        <f t="shared" si="5"/>
        <v>58769.256666666661</v>
      </c>
      <c r="P23" s="86">
        <f t="shared" si="5"/>
        <v>81850.656666666648</v>
      </c>
      <c r="Q23" s="86">
        <f t="shared" si="5"/>
        <v>110793.40666666665</v>
      </c>
      <c r="R23" s="86">
        <f t="shared" si="5"/>
        <v>145233.50666666665</v>
      </c>
      <c r="S23" s="86">
        <f t="shared" si="5"/>
        <v>191760.30666666664</v>
      </c>
      <c r="T23" s="86">
        <f t="shared" si="5"/>
        <v>243420.45666666667</v>
      </c>
      <c r="U23" s="86">
        <f t="shared" si="5"/>
        <v>312300.65666666662</v>
      </c>
      <c r="V23" s="86">
        <f t="shared" si="5"/>
        <v>404626.25666666665</v>
      </c>
      <c r="W23" s="86">
        <f t="shared" si="5"/>
        <v>520033.25666666665</v>
      </c>
      <c r="X23" s="86">
        <f t="shared" si="5"/>
        <v>664383.0066666666</v>
      </c>
      <c r="Y23" s="86">
        <f t="shared" si="5"/>
        <v>843172.85666666669</v>
      </c>
      <c r="Z23" s="86">
        <f t="shared" si="5"/>
        <v>1068125.5066666666</v>
      </c>
      <c r="AA23" s="68">
        <f t="shared" si="1"/>
        <v>212536.38333333327</v>
      </c>
      <c r="AB23" s="68">
        <f t="shared" si="2"/>
        <v>4644469.13</v>
      </c>
    </row>
    <row r="24" spans="1:28" x14ac:dyDescent="0.25">
      <c r="A24" s="59" t="s">
        <v>1028</v>
      </c>
      <c r="B24" s="77" t="s">
        <v>1029</v>
      </c>
      <c r="C24" s="86">
        <f t="shared" ref="C24:Z24" si="6">C15+C23</f>
        <v>92624.5</v>
      </c>
      <c r="D24" s="86">
        <f t="shared" si="6"/>
        <v>95924.4</v>
      </c>
      <c r="E24" s="86">
        <f t="shared" si="6"/>
        <v>100077.48333333332</v>
      </c>
      <c r="F24" s="86">
        <f t="shared" si="6"/>
        <v>109719.91666666666</v>
      </c>
      <c r="G24" s="86">
        <f t="shared" si="6"/>
        <v>126591.69999999998</v>
      </c>
      <c r="H24" s="86">
        <f t="shared" si="6"/>
        <v>149324.83333333331</v>
      </c>
      <c r="I24" s="86">
        <f t="shared" si="6"/>
        <v>176535.71666666665</v>
      </c>
      <c r="J24" s="86">
        <f t="shared" si="6"/>
        <v>209607.94999999998</v>
      </c>
      <c r="K24" s="86">
        <f t="shared" si="6"/>
        <v>248541.5333333333</v>
      </c>
      <c r="L24" s="86">
        <f t="shared" si="6"/>
        <v>293336.46666666662</v>
      </c>
      <c r="M24" s="86">
        <f t="shared" si="6"/>
        <v>343992.74999999994</v>
      </c>
      <c r="N24" s="86">
        <f t="shared" si="6"/>
        <v>400510.38333333324</v>
      </c>
      <c r="O24" s="86">
        <f t="shared" si="6"/>
        <v>459279.6399999999</v>
      </c>
      <c r="P24" s="86">
        <f t="shared" si="6"/>
        <v>541130.29666666652</v>
      </c>
      <c r="Q24" s="86">
        <f t="shared" si="6"/>
        <v>651923.70333333313</v>
      </c>
      <c r="R24" s="86">
        <f t="shared" si="6"/>
        <v>797157.20999999973</v>
      </c>
      <c r="S24" s="86">
        <f t="shared" si="6"/>
        <v>988917.51666666637</v>
      </c>
      <c r="T24" s="86">
        <f t="shared" si="6"/>
        <v>1232337.9733333332</v>
      </c>
      <c r="U24" s="86">
        <f t="shared" si="6"/>
        <v>1544638.63</v>
      </c>
      <c r="V24" s="86">
        <f t="shared" si="6"/>
        <v>1949264.8866666665</v>
      </c>
      <c r="W24" s="86">
        <f t="shared" si="6"/>
        <v>2469298.1433333331</v>
      </c>
      <c r="X24" s="86">
        <f t="shared" si="6"/>
        <v>3133681.1499999994</v>
      </c>
      <c r="Y24" s="86">
        <f t="shared" si="6"/>
        <v>3976854.0066666659</v>
      </c>
      <c r="Z24" s="86">
        <f t="shared" si="6"/>
        <v>5044979.5133333327</v>
      </c>
      <c r="AA24" s="68">
        <f>N24</f>
        <v>400510.38333333324</v>
      </c>
      <c r="AB24" s="68">
        <f>Z24</f>
        <v>5044979.5133333327</v>
      </c>
    </row>
    <row r="25" spans="1:28" x14ac:dyDescent="0.25">
      <c r="A25" s="59" t="s">
        <v>982</v>
      </c>
      <c r="B25" s="59" t="s">
        <v>1030</v>
      </c>
      <c r="C25" s="67">
        <f>IF(C23&lt;0,ABS(C23),0)</f>
        <v>95349.5</v>
      </c>
      <c r="D25" s="67">
        <f t="shared" ref="D25:Z25" si="7">C25+IF(D23&lt;0,ABS(D23),0)</f>
        <v>95349.5</v>
      </c>
      <c r="E25" s="67">
        <f t="shared" si="7"/>
        <v>95349.5</v>
      </c>
      <c r="F25" s="67">
        <f t="shared" si="7"/>
        <v>95349.5</v>
      </c>
      <c r="G25" s="67">
        <f t="shared" si="7"/>
        <v>95349.5</v>
      </c>
      <c r="H25" s="67">
        <f t="shared" si="7"/>
        <v>95349.5</v>
      </c>
      <c r="I25" s="67">
        <f t="shared" si="7"/>
        <v>95349.5</v>
      </c>
      <c r="J25" s="67">
        <f t="shared" si="7"/>
        <v>95349.5</v>
      </c>
      <c r="K25" s="67">
        <f t="shared" si="7"/>
        <v>95349.5</v>
      </c>
      <c r="L25" s="67">
        <f t="shared" si="7"/>
        <v>95349.5</v>
      </c>
      <c r="M25" s="67">
        <f t="shared" si="7"/>
        <v>95349.5</v>
      </c>
      <c r="N25" s="67">
        <f t="shared" si="7"/>
        <v>95349.5</v>
      </c>
      <c r="O25" s="67">
        <f t="shared" si="7"/>
        <v>95349.5</v>
      </c>
      <c r="P25" s="67">
        <f t="shared" si="7"/>
        <v>95349.5</v>
      </c>
      <c r="Q25" s="67">
        <f t="shared" si="7"/>
        <v>95349.5</v>
      </c>
      <c r="R25" s="67">
        <f t="shared" si="7"/>
        <v>95349.5</v>
      </c>
      <c r="S25" s="67">
        <f t="shared" si="7"/>
        <v>95349.5</v>
      </c>
      <c r="T25" s="67">
        <f t="shared" si="7"/>
        <v>95349.5</v>
      </c>
      <c r="U25" s="67">
        <f t="shared" si="7"/>
        <v>95349.5</v>
      </c>
      <c r="V25" s="67">
        <f t="shared" si="7"/>
        <v>95349.5</v>
      </c>
      <c r="W25" s="67">
        <f t="shared" si="7"/>
        <v>95349.5</v>
      </c>
      <c r="X25" s="67">
        <f t="shared" si="7"/>
        <v>95349.5</v>
      </c>
      <c r="Y25" s="67">
        <f t="shared" si="7"/>
        <v>95349.5</v>
      </c>
      <c r="Z25" s="67">
        <f t="shared" si="7"/>
        <v>95349.5</v>
      </c>
      <c r="AA25" s="68">
        <f>N25</f>
        <v>95349.5</v>
      </c>
      <c r="AB25" s="68">
        <f>Z25</f>
        <v>95349.5</v>
      </c>
    </row>
    <row r="26" spans="1:28" x14ac:dyDescent="0.25">
      <c r="A26" s="59" t="s">
        <v>982</v>
      </c>
      <c r="B26" s="59" t="s">
        <v>1031</v>
      </c>
      <c r="C26" s="87">
        <f>IFERROR(IF(C20=0,99,C24/C20), 0)</f>
        <v>4.8776692382632509</v>
      </c>
      <c r="D26" s="87">
        <f>IFERROR(IF(D20=0,99,D24/D20), 0)</f>
        <v>5.0514442191737539</v>
      </c>
      <c r="E26" s="87">
        <f>IFERROR(IF(E20=0,99,E24/E20), 0)</f>
        <v>4.2060555329849674</v>
      </c>
      <c r="F26" s="87">
        <f t="shared" ref="F26:Z26" si="8">IFERROR(IF(AVERAGE(D22:F22)=0,99,F24/AVERAGE(D22:F22)), 0)</f>
        <v>4.5174020846819101</v>
      </c>
      <c r="G26" s="87">
        <f t="shared" si="8"/>
        <v>4.8145320165819392</v>
      </c>
      <c r="H26" s="87">
        <f t="shared" si="8"/>
        <v>5.5915036758740335</v>
      </c>
      <c r="I26" s="87">
        <f t="shared" si="8"/>
        <v>6.4122833038310922</v>
      </c>
      <c r="J26" s="87">
        <f t="shared" si="8"/>
        <v>7.3919966568000719</v>
      </c>
      <c r="K26" s="87">
        <f t="shared" si="8"/>
        <v>8.5171605527747225</v>
      </c>
      <c r="L26" s="87">
        <f t="shared" si="8"/>
        <v>9.9283743137648628</v>
      </c>
      <c r="M26" s="87">
        <f t="shared" si="8"/>
        <v>11.501209769993242</v>
      </c>
      <c r="N26" s="87">
        <f t="shared" si="8"/>
        <v>13.229836995897365</v>
      </c>
      <c r="O26" s="87">
        <f t="shared" si="8"/>
        <v>14.424381268613166</v>
      </c>
      <c r="P26" s="87">
        <f t="shared" si="8"/>
        <v>15.965802627189492</v>
      </c>
      <c r="Q26" s="87">
        <f t="shared" si="8"/>
        <v>17.835354484502485</v>
      </c>
      <c r="R26" s="87">
        <f t="shared" si="8"/>
        <v>20.51480222947032</v>
      </c>
      <c r="S26" s="87">
        <f t="shared" si="8"/>
        <v>23.744471766692818</v>
      </c>
      <c r="T26" s="87">
        <f t="shared" si="8"/>
        <v>27.284038240904227</v>
      </c>
      <c r="U26" s="87">
        <f t="shared" si="8"/>
        <v>31.106582659020688</v>
      </c>
      <c r="V26" s="87">
        <f t="shared" si="8"/>
        <v>35.134344078002904</v>
      </c>
      <c r="W26" s="87">
        <f t="shared" si="8"/>
        <v>39.268971959921743</v>
      </c>
      <c r="X26" s="87">
        <f t="shared" si="8"/>
        <v>43.461179697671341</v>
      </c>
      <c r="Y26" s="87">
        <f t="shared" si="8"/>
        <v>47.553152872637114</v>
      </c>
      <c r="Z26" s="87">
        <f t="shared" si="8"/>
        <v>51.443515809963507</v>
      </c>
      <c r="AA26" s="88">
        <f>N26</f>
        <v>13.229836995897365</v>
      </c>
      <c r="AB26" s="88">
        <f>Z26</f>
        <v>51.443515809963507</v>
      </c>
    </row>
    <row r="30" spans="1:28" ht="18.75" customHeight="1" x14ac:dyDescent="0.3">
      <c r="A30" s="54" t="s">
        <v>1032</v>
      </c>
    </row>
    <row r="32" spans="1:28" x14ac:dyDescent="0.25">
      <c r="A32" s="64" t="s">
        <v>88</v>
      </c>
      <c r="B32" s="64" t="s">
        <v>218</v>
      </c>
      <c r="C32" s="64" t="s">
        <v>64</v>
      </c>
    </row>
    <row r="33" spans="1:3" x14ac:dyDescent="0.25">
      <c r="A33" s="59" t="s">
        <v>1033</v>
      </c>
      <c r="B33" s="67">
        <f>$B$7</f>
        <v>187974</v>
      </c>
      <c r="C33" s="59" t="s">
        <v>1034</v>
      </c>
    </row>
    <row r="34" spans="1:3" x14ac:dyDescent="0.25">
      <c r="A34" s="59" t="s">
        <v>1035</v>
      </c>
      <c r="B34" s="67">
        <f>AA18</f>
        <v>612889.65</v>
      </c>
      <c r="C34" s="59" t="s">
        <v>1036</v>
      </c>
    </row>
    <row r="35" spans="1:3" x14ac:dyDescent="0.25">
      <c r="A35" s="59" t="s">
        <v>1037</v>
      </c>
      <c r="B35" s="67">
        <f>AA22</f>
        <v>400353.2666666666</v>
      </c>
      <c r="C35" s="59" t="s">
        <v>1038</v>
      </c>
    </row>
    <row r="36" spans="1:3" x14ac:dyDescent="0.25">
      <c r="A36" s="59" t="s">
        <v>1039</v>
      </c>
      <c r="B36" s="67">
        <f>AA23</f>
        <v>212536.38333333327</v>
      </c>
      <c r="C36" s="59" t="s">
        <v>1040</v>
      </c>
    </row>
    <row r="37" spans="1:3" x14ac:dyDescent="0.25">
      <c r="A37" s="59" t="s">
        <v>1041</v>
      </c>
      <c r="B37" s="67">
        <f>N24</f>
        <v>400510.38333333324</v>
      </c>
      <c r="C37" s="59" t="s">
        <v>1042</v>
      </c>
    </row>
    <row r="38" spans="1:3" x14ac:dyDescent="0.25">
      <c r="A38" s="59" t="s">
        <v>1043</v>
      </c>
      <c r="B38" s="67">
        <f>AB23</f>
        <v>4644469.13</v>
      </c>
      <c r="C38" s="59" t="s">
        <v>1044</v>
      </c>
    </row>
    <row r="39" spans="1:3" x14ac:dyDescent="0.25">
      <c r="A39" s="59" t="s">
        <v>1045</v>
      </c>
      <c r="B39" s="67">
        <f>Z24</f>
        <v>5044979.5133333327</v>
      </c>
      <c r="C39" s="59" t="s">
        <v>1046</v>
      </c>
    </row>
    <row r="40" spans="1:3" x14ac:dyDescent="0.25">
      <c r="A40" s="59" t="s">
        <v>1047</v>
      </c>
      <c r="B40" s="59">
        <f>IFERROR(MATCH(TRUE,INDEX(C23:Z23&gt;0,0),0), 0)</f>
        <v>2</v>
      </c>
      <c r="C40" s="59" t="s">
        <v>1048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4"/>
  <sheetViews>
    <sheetView workbookViewId="0">
      <selection activeCell="C43" sqref="C43"/>
    </sheetView>
  </sheetViews>
  <sheetFormatPr defaultRowHeight="15" x14ac:dyDescent="0.25"/>
  <cols>
    <col min="1" max="1" width="18" customWidth="1"/>
    <col min="2" max="2" width="32" customWidth="1"/>
    <col min="3" max="3" width="15" customWidth="1"/>
    <col min="4" max="4" width="11.42578125" bestFit="1" customWidth="1"/>
    <col min="5" max="5" width="45.28515625" bestFit="1" customWidth="1"/>
    <col min="6" max="6" width="50" bestFit="1" customWidth="1"/>
  </cols>
  <sheetData>
    <row r="1" spans="1:6" ht="18.75" customHeight="1" x14ac:dyDescent="0.3">
      <c r="A1" s="54" t="s">
        <v>1049</v>
      </c>
    </row>
    <row r="2" spans="1:6" x14ac:dyDescent="0.25">
      <c r="A2" t="s">
        <v>1050</v>
      </c>
    </row>
    <row r="3" spans="1:6" x14ac:dyDescent="0.25">
      <c r="A3" t="s">
        <v>1051</v>
      </c>
    </row>
    <row r="5" spans="1:6" x14ac:dyDescent="0.25">
      <c r="A5" s="64" t="s">
        <v>216</v>
      </c>
      <c r="B5" s="64" t="s">
        <v>624</v>
      </c>
      <c r="C5" s="64" t="s">
        <v>1052</v>
      </c>
      <c r="D5" s="64" t="s">
        <v>1053</v>
      </c>
      <c r="E5" s="64" t="s">
        <v>1054</v>
      </c>
      <c r="F5" s="64" t="s">
        <v>64</v>
      </c>
    </row>
    <row r="6" spans="1:6" ht="18.75" customHeight="1" x14ac:dyDescent="0.3">
      <c r="A6" s="59"/>
      <c r="B6" s="89" t="s">
        <v>1055</v>
      </c>
      <c r="C6" s="67"/>
      <c r="D6" s="67"/>
      <c r="E6" s="67"/>
      <c r="F6" s="59"/>
    </row>
    <row r="7" spans="1:6" x14ac:dyDescent="0.25">
      <c r="A7" s="59" t="s">
        <v>530</v>
      </c>
      <c r="B7" s="59" t="s">
        <v>1056</v>
      </c>
      <c r="C7" s="76">
        <f>'Startup Costs-Led BuildWA'!B90</f>
        <v>187974</v>
      </c>
      <c r="D7" s="76">
        <f>'Cash Flow'!N24</f>
        <v>400510.38333333324</v>
      </c>
      <c r="E7" s="76">
        <f>'Cash Flow'!Z24</f>
        <v>5044979.5133333327</v>
      </c>
      <c r="F7" s="59" t="s">
        <v>1057</v>
      </c>
    </row>
    <row r="8" spans="1:6" x14ac:dyDescent="0.25">
      <c r="A8" s="59" t="s">
        <v>530</v>
      </c>
      <c r="B8" s="59" t="s">
        <v>1058</v>
      </c>
      <c r="C8" s="76">
        <v>0</v>
      </c>
      <c r="D8" s="76">
        <f>IFERROR('P&amp;L'!N33/12, "N/A")</f>
        <v>8191.25</v>
      </c>
      <c r="E8" s="76">
        <f>IFERROR('P&amp;L'!Z33/12, "N/A")</f>
        <v>130513.91666666667</v>
      </c>
      <c r="F8" s="59" t="s">
        <v>1059</v>
      </c>
    </row>
    <row r="9" spans="1:6" x14ac:dyDescent="0.25">
      <c r="A9" s="59" t="s">
        <v>530</v>
      </c>
      <c r="B9" s="59" t="s">
        <v>1060</v>
      </c>
      <c r="C9" s="76">
        <v>0</v>
      </c>
      <c r="D9" s="76">
        <f>Assumptions!B224</f>
        <v>2000</v>
      </c>
      <c r="E9" s="76">
        <f>Assumptions!B220</f>
        <v>3000</v>
      </c>
      <c r="F9" s="59" t="s">
        <v>1061</v>
      </c>
    </row>
    <row r="10" spans="1:6" x14ac:dyDescent="0.25">
      <c r="A10" s="59"/>
      <c r="B10" s="59" t="s">
        <v>1062</v>
      </c>
      <c r="C10" s="90">
        <f>SUM(C7:C9)</f>
        <v>187974</v>
      </c>
      <c r="D10" s="90">
        <f>SUM(D7:D9)</f>
        <v>410701.63333333324</v>
      </c>
      <c r="E10" s="90">
        <f>SUM(E7:E9)</f>
        <v>5178493.43</v>
      </c>
      <c r="F10" s="59"/>
    </row>
    <row r="11" spans="1:6" x14ac:dyDescent="0.25">
      <c r="A11" s="59" t="s">
        <v>1063</v>
      </c>
      <c r="B11" s="59" t="s">
        <v>1064</v>
      </c>
      <c r="C11" s="76">
        <v>0</v>
      </c>
      <c r="D11" s="76">
        <v>0</v>
      </c>
      <c r="E11" s="76">
        <v>0</v>
      </c>
      <c r="F11" s="59" t="s">
        <v>1065</v>
      </c>
    </row>
    <row r="12" spans="1:6" x14ac:dyDescent="0.25">
      <c r="A12" s="59" t="s">
        <v>1063</v>
      </c>
      <c r="B12" s="59" t="s">
        <v>1066</v>
      </c>
      <c r="C12" s="76">
        <v>0</v>
      </c>
      <c r="D12" s="76">
        <v>0</v>
      </c>
      <c r="E12" s="76">
        <v>0</v>
      </c>
      <c r="F12" s="59" t="s">
        <v>1067</v>
      </c>
    </row>
    <row r="13" spans="1:6" x14ac:dyDescent="0.25">
      <c r="A13" s="59"/>
      <c r="B13" s="59" t="s">
        <v>1068</v>
      </c>
      <c r="C13" s="90">
        <f>C11+C12</f>
        <v>0</v>
      </c>
      <c r="D13" s="90">
        <f>D11+D12</f>
        <v>0</v>
      </c>
      <c r="E13" s="90">
        <f>E11+E12</f>
        <v>0</v>
      </c>
      <c r="F13" s="59"/>
    </row>
    <row r="14" spans="1:6" x14ac:dyDescent="0.25">
      <c r="A14" s="59" t="s">
        <v>1069</v>
      </c>
      <c r="B14" s="59" t="s">
        <v>1070</v>
      </c>
      <c r="C14" s="76">
        <v>0</v>
      </c>
      <c r="D14" s="76">
        <v>0</v>
      </c>
      <c r="E14" s="76">
        <v>0</v>
      </c>
      <c r="F14" s="59" t="s">
        <v>1071</v>
      </c>
    </row>
    <row r="15" spans="1:6" x14ac:dyDescent="0.25">
      <c r="A15" s="59" t="s">
        <v>1069</v>
      </c>
      <c r="B15" s="59" t="s">
        <v>1072</v>
      </c>
      <c r="C15" s="76">
        <v>0</v>
      </c>
      <c r="D15" s="76">
        <v>0</v>
      </c>
      <c r="E15" s="76">
        <v>0</v>
      </c>
      <c r="F15" s="59" t="s">
        <v>1073</v>
      </c>
    </row>
    <row r="16" spans="1:6" x14ac:dyDescent="0.25">
      <c r="A16" s="59"/>
      <c r="B16" s="59" t="s">
        <v>1074</v>
      </c>
      <c r="C16" s="90">
        <f>C14+C15</f>
        <v>0</v>
      </c>
      <c r="D16" s="90">
        <f>D14+D15</f>
        <v>0</v>
      </c>
      <c r="E16" s="90">
        <f>E14+E15</f>
        <v>0</v>
      </c>
      <c r="F16" s="59"/>
    </row>
    <row r="17" spans="1:6" x14ac:dyDescent="0.25">
      <c r="A17" s="59"/>
      <c r="B17" s="59" t="s">
        <v>1075</v>
      </c>
      <c r="C17" s="134">
        <f>C10+C13+C16</f>
        <v>187974</v>
      </c>
      <c r="D17" s="134">
        <f>D10+D13+D16</f>
        <v>410701.63333333324</v>
      </c>
      <c r="E17" s="134">
        <f>E10+E13+E16</f>
        <v>5178493.43</v>
      </c>
      <c r="F17" s="59"/>
    </row>
    <row r="18" spans="1:6" x14ac:dyDescent="0.25">
      <c r="A18" s="59"/>
      <c r="B18" s="59"/>
      <c r="C18" s="67"/>
      <c r="D18" s="67"/>
      <c r="E18" s="67"/>
      <c r="F18" s="59"/>
    </row>
    <row r="19" spans="1:6" ht="18.75" customHeight="1" x14ac:dyDescent="0.3">
      <c r="A19" s="59"/>
      <c r="B19" s="89" t="s">
        <v>1076</v>
      </c>
      <c r="C19" s="67"/>
      <c r="D19" s="67"/>
      <c r="E19" s="67"/>
      <c r="F19" s="59"/>
    </row>
    <row r="20" spans="1:6" x14ac:dyDescent="0.25">
      <c r="A20" s="59" t="s">
        <v>531</v>
      </c>
      <c r="B20" s="59" t="s">
        <v>1077</v>
      </c>
      <c r="C20" s="79">
        <v>0</v>
      </c>
      <c r="D20" s="79">
        <f>IFERROR('Operating Expenses'!N56/2, "N/A")</f>
        <v>12588.633333333335</v>
      </c>
      <c r="E20" s="79">
        <f>IFERROR('Operating Expenses'!N56/2, "N/A")</f>
        <v>12588.633333333335</v>
      </c>
      <c r="F20" s="59" t="s">
        <v>1078</v>
      </c>
    </row>
    <row r="21" spans="1:6" x14ac:dyDescent="0.25">
      <c r="A21" s="59" t="s">
        <v>531</v>
      </c>
      <c r="B21" s="59" t="s">
        <v>1079</v>
      </c>
      <c r="C21" s="79">
        <v>0</v>
      </c>
      <c r="D21" s="79">
        <f>Assumptions!B202</f>
        <v>5000</v>
      </c>
      <c r="E21" s="79">
        <f>Assumptions!B225</f>
        <v>8000</v>
      </c>
      <c r="F21" s="59" t="s">
        <v>1080</v>
      </c>
    </row>
    <row r="22" spans="1:6" x14ac:dyDescent="0.25">
      <c r="A22" s="59" t="s">
        <v>531</v>
      </c>
      <c r="B22" s="59" t="s">
        <v>1081</v>
      </c>
      <c r="C22" s="79">
        <v>0</v>
      </c>
      <c r="D22" s="79">
        <f>'P&amp;L'!N29</f>
        <v>4485</v>
      </c>
      <c r="E22" s="79">
        <f>'P&amp;L'!Z29</f>
        <v>71461</v>
      </c>
      <c r="F22" s="59" t="s">
        <v>1082</v>
      </c>
    </row>
    <row r="23" spans="1:6" x14ac:dyDescent="0.25">
      <c r="A23" s="59"/>
      <c r="B23" s="59" t="s">
        <v>1083</v>
      </c>
      <c r="C23" s="90">
        <f>SUM(C20:C22)</f>
        <v>0</v>
      </c>
      <c r="D23" s="90">
        <f>SUM(D20:D22)</f>
        <v>22073.633333333335</v>
      </c>
      <c r="E23" s="90">
        <f>SUM(E20:E22)</f>
        <v>92049.633333333331</v>
      </c>
      <c r="F23" s="59"/>
    </row>
    <row r="24" spans="1:6" x14ac:dyDescent="0.25">
      <c r="A24" s="59" t="s">
        <v>1084</v>
      </c>
      <c r="B24" s="59" t="s">
        <v>1085</v>
      </c>
      <c r="C24" s="79">
        <v>0</v>
      </c>
      <c r="D24" s="79">
        <v>0</v>
      </c>
      <c r="E24" s="79">
        <v>0</v>
      </c>
      <c r="F24" s="59" t="s">
        <v>1086</v>
      </c>
    </row>
    <row r="25" spans="1:6" x14ac:dyDescent="0.25">
      <c r="A25" s="59"/>
      <c r="B25" s="59" t="s">
        <v>1087</v>
      </c>
      <c r="C25" s="134">
        <f>C23+C24</f>
        <v>0</v>
      </c>
      <c r="D25" s="134">
        <f>D23+D24</f>
        <v>22073.633333333335</v>
      </c>
      <c r="E25" s="134">
        <f>E23+E24</f>
        <v>92049.633333333331</v>
      </c>
      <c r="F25" s="59"/>
    </row>
    <row r="26" spans="1:6" x14ac:dyDescent="0.25">
      <c r="A26" s="59"/>
      <c r="B26" s="59"/>
      <c r="C26" s="67"/>
      <c r="D26" s="67"/>
      <c r="E26" s="67"/>
      <c r="F26" s="59"/>
    </row>
    <row r="27" spans="1:6" ht="18.75" customHeight="1" x14ac:dyDescent="0.3">
      <c r="A27" s="59"/>
      <c r="B27" s="89" t="s">
        <v>1088</v>
      </c>
      <c r="C27" s="67"/>
      <c r="D27" s="67"/>
      <c r="E27" s="67"/>
      <c r="F27" s="59"/>
    </row>
    <row r="28" spans="1:6" x14ac:dyDescent="0.25">
      <c r="A28" s="59" t="s">
        <v>1089</v>
      </c>
      <c r="B28" s="59" t="s">
        <v>1090</v>
      </c>
      <c r="C28" s="91">
        <f>'Startup Costs-Led BuildWA'!B90</f>
        <v>187974</v>
      </c>
      <c r="D28" s="91">
        <f>'Startup Costs-Led BuildWA'!B90</f>
        <v>187974</v>
      </c>
      <c r="E28" s="91">
        <f>'Startup Costs-Led BuildWA'!B90</f>
        <v>187974</v>
      </c>
      <c r="F28" s="59" t="s">
        <v>1091</v>
      </c>
    </row>
    <row r="29" spans="1:6" x14ac:dyDescent="0.25">
      <c r="A29" s="59" t="s">
        <v>1089</v>
      </c>
      <c r="B29" s="59" t="s">
        <v>1092</v>
      </c>
      <c r="C29" s="91">
        <v>0</v>
      </c>
      <c r="D29" s="91">
        <f>'P&amp;L'!B53</f>
        <v>418088.73333333334</v>
      </c>
      <c r="E29" s="91">
        <f>'P&amp;L'!B53+'P&amp;L'!C53</f>
        <v>422991.23333333334</v>
      </c>
      <c r="F29" s="59" t="s">
        <v>1093</v>
      </c>
    </row>
    <row r="30" spans="1:6" x14ac:dyDescent="0.25">
      <c r="A30" s="59"/>
      <c r="B30" s="59" t="s">
        <v>1094</v>
      </c>
      <c r="C30" s="90">
        <f>C28+C29</f>
        <v>187974</v>
      </c>
      <c r="D30" s="90">
        <f>D28+D29</f>
        <v>606062.7333333334</v>
      </c>
      <c r="E30" s="90">
        <f>E28+E29</f>
        <v>610965.2333333334</v>
      </c>
      <c r="F30" s="59"/>
    </row>
    <row r="31" spans="1:6" x14ac:dyDescent="0.25">
      <c r="A31" s="59"/>
      <c r="B31" s="59"/>
      <c r="C31" s="67"/>
      <c r="D31" s="67"/>
      <c r="E31" s="67"/>
      <c r="F31" s="59"/>
    </row>
    <row r="32" spans="1:6" x14ac:dyDescent="0.25">
      <c r="A32" s="59"/>
      <c r="B32" s="59" t="s">
        <v>1095</v>
      </c>
      <c r="C32" s="134">
        <f>C25+C30</f>
        <v>187974</v>
      </c>
      <c r="D32" s="134">
        <f>D25+D30</f>
        <v>628136.3666666667</v>
      </c>
      <c r="E32" s="134">
        <f>E25+E30</f>
        <v>703014.8666666667</v>
      </c>
      <c r="F32" s="59"/>
    </row>
    <row r="33" spans="1:6" x14ac:dyDescent="0.25">
      <c r="A33" s="59"/>
      <c r="B33" s="59"/>
      <c r="C33" s="67"/>
      <c r="D33" s="67"/>
      <c r="E33" s="67"/>
      <c r="F33" s="59"/>
    </row>
    <row r="34" spans="1:6" x14ac:dyDescent="0.25">
      <c r="A34" s="59" t="s">
        <v>1096</v>
      </c>
      <c r="B34" s="59" t="s">
        <v>1097</v>
      </c>
      <c r="C34" s="67">
        <f>C17-C32</f>
        <v>0</v>
      </c>
      <c r="D34" s="67">
        <f>D17-D32</f>
        <v>-217434.73333333345</v>
      </c>
      <c r="E34" s="67">
        <f>E17-E32</f>
        <v>4475478.5633333325</v>
      </c>
      <c r="F34" s="59" t="s">
        <v>1098</v>
      </c>
    </row>
    <row r="36" spans="1:6" x14ac:dyDescent="0.25">
      <c r="A36" t="s">
        <v>1099</v>
      </c>
    </row>
    <row r="37" spans="1:6" x14ac:dyDescent="0.25">
      <c r="A37" t="s">
        <v>1100</v>
      </c>
    </row>
    <row r="38" spans="1:6" ht="18.75" customHeight="1" x14ac:dyDescent="0.3">
      <c r="A38" s="54" t="s">
        <v>1101</v>
      </c>
    </row>
    <row r="40" spans="1:6" x14ac:dyDescent="0.25">
      <c r="A40" s="64" t="s">
        <v>1102</v>
      </c>
      <c r="B40" s="64" t="s">
        <v>1103</v>
      </c>
      <c r="C40" s="64" t="s">
        <v>1104</v>
      </c>
      <c r="D40" s="64" t="s">
        <v>1105</v>
      </c>
      <c r="E40" s="64" t="s">
        <v>64</v>
      </c>
    </row>
    <row r="41" spans="1:6" x14ac:dyDescent="0.25">
      <c r="A41" s="59" t="s">
        <v>1106</v>
      </c>
      <c r="B41" s="92" t="str">
        <f>IFERROR(C10/C23, "N/A")</f>
        <v>N/A</v>
      </c>
      <c r="C41" s="92">
        <f>IFERROR(D10/D23, "N/A")</f>
        <v>18.605982401326465</v>
      </c>
      <c r="D41" s="92">
        <f>IFERROR(E10/E23, "N/A")</f>
        <v>56.257621486089569</v>
      </c>
      <c r="E41" s="59" t="s">
        <v>1107</v>
      </c>
    </row>
    <row r="42" spans="1:6" x14ac:dyDescent="0.25">
      <c r="A42" s="59" t="s">
        <v>1108</v>
      </c>
      <c r="B42" s="92">
        <f>IFERROR(C25/C30, "N/A")</f>
        <v>0</v>
      </c>
      <c r="C42" s="92">
        <f>IFERROR(D25/D30, "N/A")</f>
        <v>3.6421367161001264E-2</v>
      </c>
      <c r="D42" s="92">
        <f>IFERROR(E25/E30, "N/A")</f>
        <v>0.15066263726844903</v>
      </c>
      <c r="E42" s="59" t="s">
        <v>1109</v>
      </c>
    </row>
    <row r="43" spans="1:6" x14ac:dyDescent="0.25">
      <c r="A43" s="59" t="s">
        <v>1110</v>
      </c>
      <c r="B43" s="92" t="str">
        <f>IFERROR(C7/C23, "N/A")</f>
        <v>N/A</v>
      </c>
      <c r="C43" s="92">
        <f>IFERROR(D7/D23, "N/A")</f>
        <v>18.144289038656975</v>
      </c>
      <c r="D43" s="92">
        <f>IFERROR(E7/E23, "N/A")</f>
        <v>54.807165771799191</v>
      </c>
      <c r="E43" s="59" t="s">
        <v>1111</v>
      </c>
    </row>
    <row r="44" spans="1:6" ht="15.75" customHeight="1" x14ac:dyDescent="0.25">
      <c r="A44" s="117" t="s">
        <v>1112</v>
      </c>
    </row>
    <row r="46" spans="1:6" x14ac:dyDescent="0.25">
      <c r="A46" t="s">
        <v>1113</v>
      </c>
    </row>
    <row r="47" spans="1:6" x14ac:dyDescent="0.25">
      <c r="A47" t="s">
        <v>1114</v>
      </c>
    </row>
    <row r="48" spans="1:6" x14ac:dyDescent="0.25">
      <c r="A48" t="s">
        <v>1115</v>
      </c>
    </row>
    <row r="49" spans="1:1" x14ac:dyDescent="0.25">
      <c r="A49" t="s">
        <v>1116</v>
      </c>
    </row>
    <row r="51" spans="1:1" x14ac:dyDescent="0.25">
      <c r="A51" t="s">
        <v>1117</v>
      </c>
    </row>
    <row r="52" spans="1:1" x14ac:dyDescent="0.25">
      <c r="A52" t="s">
        <v>1118</v>
      </c>
    </row>
    <row r="53" spans="1:1" x14ac:dyDescent="0.25">
      <c r="A53" t="s">
        <v>1119</v>
      </c>
    </row>
    <row r="54" spans="1:1" x14ac:dyDescent="0.25">
      <c r="A54" t="s">
        <v>1120</v>
      </c>
    </row>
    <row r="56" spans="1:1" x14ac:dyDescent="0.25">
      <c r="A56" t="s">
        <v>1121</v>
      </c>
    </row>
    <row r="57" spans="1:1" x14ac:dyDescent="0.25">
      <c r="A57" t="s">
        <v>1122</v>
      </c>
    </row>
    <row r="58" spans="1:1" x14ac:dyDescent="0.25">
      <c r="A58" t="s">
        <v>1123</v>
      </c>
    </row>
    <row r="59" spans="1:1" x14ac:dyDescent="0.25">
      <c r="A59" t="s">
        <v>1124</v>
      </c>
    </row>
    <row r="61" spans="1:1" x14ac:dyDescent="0.25">
      <c r="A61" t="s">
        <v>1125</v>
      </c>
    </row>
    <row r="62" spans="1:1" x14ac:dyDescent="0.25">
      <c r="A62" t="s">
        <v>1126</v>
      </c>
    </row>
    <row r="63" spans="1:1" x14ac:dyDescent="0.25">
      <c r="A63" t="s">
        <v>1127</v>
      </c>
    </row>
    <row r="64" spans="1:1" x14ac:dyDescent="0.25">
      <c r="A64" t="s">
        <v>1128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5"/>
  <sheetViews>
    <sheetView workbookViewId="0"/>
  </sheetViews>
  <sheetFormatPr defaultRowHeight="15" x14ac:dyDescent="0.25"/>
  <cols>
    <col min="1" max="1" width="88" bestFit="1" customWidth="1"/>
    <col min="2" max="3" width="60" customWidth="1"/>
    <col min="4" max="4" width="35" customWidth="1"/>
  </cols>
  <sheetData>
    <row r="1" spans="1:4" ht="18.75" customHeight="1" x14ac:dyDescent="0.3">
      <c r="A1" s="54" t="s">
        <v>1129</v>
      </c>
    </row>
    <row r="2" spans="1:4" x14ac:dyDescent="0.25">
      <c r="A2" t="s">
        <v>1130</v>
      </c>
    </row>
    <row r="3" spans="1:4" x14ac:dyDescent="0.25">
      <c r="A3" t="s">
        <v>1131</v>
      </c>
    </row>
    <row r="5" spans="1:4" ht="15.75" customHeight="1" x14ac:dyDescent="0.25">
      <c r="A5" s="61" t="s">
        <v>1132</v>
      </c>
    </row>
    <row r="7" spans="1:4" x14ac:dyDescent="0.25">
      <c r="A7" s="58" t="s">
        <v>1133</v>
      </c>
      <c r="B7" s="58" t="s">
        <v>1134</v>
      </c>
      <c r="C7" s="58" t="s">
        <v>1135</v>
      </c>
      <c r="D7" s="58" t="s">
        <v>1136</v>
      </c>
    </row>
    <row r="8" spans="1:4" ht="30" customHeight="1" x14ac:dyDescent="0.25">
      <c r="A8" s="56" t="s">
        <v>1137</v>
      </c>
      <c r="B8" s="56" t="s">
        <v>1138</v>
      </c>
      <c r="C8" s="56" t="s">
        <v>1139</v>
      </c>
      <c r="D8" s="56" t="s">
        <v>1140</v>
      </c>
    </row>
    <row r="9" spans="1:4" ht="30" customHeight="1" x14ac:dyDescent="0.25">
      <c r="A9" s="56" t="s">
        <v>1141</v>
      </c>
      <c r="B9" s="56" t="s">
        <v>1142</v>
      </c>
      <c r="C9" s="56" t="s">
        <v>1143</v>
      </c>
      <c r="D9" s="56" t="s">
        <v>1144</v>
      </c>
    </row>
    <row r="10" spans="1:4" ht="30" customHeight="1" x14ac:dyDescent="0.25">
      <c r="A10" s="56" t="s">
        <v>1145</v>
      </c>
      <c r="B10" s="56" t="s">
        <v>1146</v>
      </c>
      <c r="C10" s="56" t="s">
        <v>1147</v>
      </c>
      <c r="D10" s="56" t="s">
        <v>1148</v>
      </c>
    </row>
    <row r="11" spans="1:4" ht="30" customHeight="1" x14ac:dyDescent="0.25">
      <c r="A11" s="56" t="s">
        <v>1149</v>
      </c>
      <c r="B11" s="56" t="s">
        <v>1150</v>
      </c>
      <c r="C11" s="56" t="s">
        <v>1151</v>
      </c>
      <c r="D11" s="56" t="s">
        <v>1152</v>
      </c>
    </row>
    <row r="12" spans="1:4" ht="30" customHeight="1" x14ac:dyDescent="0.25">
      <c r="A12" s="56" t="s">
        <v>1153</v>
      </c>
      <c r="B12" s="56" t="s">
        <v>1154</v>
      </c>
      <c r="C12" s="56" t="s">
        <v>1155</v>
      </c>
      <c r="D12" s="56" t="s">
        <v>1156</v>
      </c>
    </row>
    <row r="14" spans="1:4" ht="15.75" customHeight="1" x14ac:dyDescent="0.25">
      <c r="A14" s="61" t="s">
        <v>1157</v>
      </c>
    </row>
    <row r="16" spans="1:4" x14ac:dyDescent="0.25">
      <c r="A16" s="58" t="s">
        <v>1133</v>
      </c>
      <c r="B16" s="58" t="s">
        <v>1134</v>
      </c>
      <c r="C16" s="58" t="s">
        <v>1135</v>
      </c>
      <c r="D16" s="58" t="s">
        <v>1136</v>
      </c>
    </row>
    <row r="17" spans="1:4" ht="30" customHeight="1" x14ac:dyDescent="0.25">
      <c r="A17" s="56" t="s">
        <v>1158</v>
      </c>
      <c r="B17" s="56" t="s">
        <v>1159</v>
      </c>
      <c r="C17" s="56" t="s">
        <v>1160</v>
      </c>
      <c r="D17" s="56" t="s">
        <v>1161</v>
      </c>
    </row>
    <row r="18" spans="1:4" ht="30" customHeight="1" x14ac:dyDescent="0.25">
      <c r="A18" s="56" t="s">
        <v>1162</v>
      </c>
      <c r="B18" s="56" t="s">
        <v>1163</v>
      </c>
      <c r="C18" s="56" t="s">
        <v>1164</v>
      </c>
      <c r="D18" s="56" t="s">
        <v>1165</v>
      </c>
    </row>
    <row r="19" spans="1:4" ht="30" customHeight="1" x14ac:dyDescent="0.25">
      <c r="A19" s="56" t="s">
        <v>1166</v>
      </c>
      <c r="B19" s="56" t="s">
        <v>1167</v>
      </c>
      <c r="C19" s="56" t="s">
        <v>1168</v>
      </c>
      <c r="D19" s="56" t="s">
        <v>1169</v>
      </c>
    </row>
    <row r="20" spans="1:4" ht="30" customHeight="1" x14ac:dyDescent="0.25">
      <c r="A20" s="56" t="s">
        <v>476</v>
      </c>
      <c r="B20" s="56" t="s">
        <v>1170</v>
      </c>
      <c r="C20" s="56" t="s">
        <v>1171</v>
      </c>
      <c r="D20" s="56" t="s">
        <v>1172</v>
      </c>
    </row>
    <row r="21" spans="1:4" x14ac:dyDescent="0.25">
      <c r="A21" s="56" t="s">
        <v>1173</v>
      </c>
      <c r="B21" s="56" t="s">
        <v>1174</v>
      </c>
      <c r="C21" s="56" t="s">
        <v>1175</v>
      </c>
      <c r="D21" s="56" t="s">
        <v>1176</v>
      </c>
    </row>
    <row r="23" spans="1:4" ht="15.75" customHeight="1" x14ac:dyDescent="0.25">
      <c r="A23" s="61" t="s">
        <v>1177</v>
      </c>
    </row>
    <row r="25" spans="1:4" x14ac:dyDescent="0.25">
      <c r="A25" s="58" t="s">
        <v>1133</v>
      </c>
      <c r="B25" s="58" t="s">
        <v>1134</v>
      </c>
      <c r="C25" s="58" t="s">
        <v>1135</v>
      </c>
      <c r="D25" s="58" t="s">
        <v>1136</v>
      </c>
    </row>
    <row r="26" spans="1:4" ht="30" customHeight="1" x14ac:dyDescent="0.25">
      <c r="A26" s="56" t="s">
        <v>1178</v>
      </c>
      <c r="B26" s="56" t="s">
        <v>1179</v>
      </c>
      <c r="C26" s="56" t="s">
        <v>1180</v>
      </c>
      <c r="D26" s="56" t="s">
        <v>1181</v>
      </c>
    </row>
    <row r="27" spans="1:4" ht="30" customHeight="1" x14ac:dyDescent="0.25">
      <c r="A27" s="56" t="s">
        <v>1182</v>
      </c>
      <c r="B27" s="56" t="s">
        <v>1183</v>
      </c>
      <c r="C27" s="56" t="s">
        <v>1184</v>
      </c>
      <c r="D27" s="56" t="s">
        <v>1185</v>
      </c>
    </row>
    <row r="28" spans="1:4" ht="30" customHeight="1" x14ac:dyDescent="0.25">
      <c r="A28" s="56" t="s">
        <v>1186</v>
      </c>
      <c r="B28" s="56" t="s">
        <v>1187</v>
      </c>
      <c r="C28" s="56" t="s">
        <v>1188</v>
      </c>
      <c r="D28" s="56" t="s">
        <v>1189</v>
      </c>
    </row>
    <row r="29" spans="1:4" ht="30" customHeight="1" x14ac:dyDescent="0.25">
      <c r="A29" s="56" t="s">
        <v>1190</v>
      </c>
      <c r="B29" s="56" t="s">
        <v>1191</v>
      </c>
      <c r="C29" s="56" t="s">
        <v>1192</v>
      </c>
      <c r="D29" s="56" t="s">
        <v>1193</v>
      </c>
    </row>
    <row r="31" spans="1:4" ht="15.75" customHeight="1" x14ac:dyDescent="0.25">
      <c r="A31" s="61" t="s">
        <v>1194</v>
      </c>
    </row>
    <row r="33" spans="1:4" x14ac:dyDescent="0.25">
      <c r="A33" s="58" t="s">
        <v>1133</v>
      </c>
      <c r="B33" s="58" t="s">
        <v>1134</v>
      </c>
      <c r="C33" s="58" t="s">
        <v>1135</v>
      </c>
      <c r="D33" s="58" t="s">
        <v>1136</v>
      </c>
    </row>
    <row r="34" spans="1:4" x14ac:dyDescent="0.25">
      <c r="A34" s="56" t="s">
        <v>1195</v>
      </c>
      <c r="B34" s="56" t="s">
        <v>1196</v>
      </c>
      <c r="C34" s="56" t="s">
        <v>1197</v>
      </c>
      <c r="D34" s="56" t="s">
        <v>1198</v>
      </c>
    </row>
    <row r="35" spans="1:4" ht="30" customHeight="1" x14ac:dyDescent="0.25">
      <c r="A35" s="56" t="s">
        <v>1199</v>
      </c>
      <c r="B35" s="56" t="s">
        <v>1196</v>
      </c>
      <c r="C35" s="56" t="s">
        <v>1200</v>
      </c>
      <c r="D35" s="56" t="s">
        <v>1201</v>
      </c>
    </row>
    <row r="36" spans="1:4" ht="30" customHeight="1" x14ac:dyDescent="0.25">
      <c r="A36" s="56" t="s">
        <v>1202</v>
      </c>
      <c r="B36" s="56" t="s">
        <v>1203</v>
      </c>
      <c r="C36" s="56" t="s">
        <v>1204</v>
      </c>
      <c r="D36" s="56" t="s">
        <v>1205</v>
      </c>
    </row>
    <row r="38" spans="1:4" ht="15.75" customHeight="1" x14ac:dyDescent="0.25">
      <c r="A38" s="61" t="s">
        <v>1206</v>
      </c>
    </row>
    <row r="40" spans="1:4" ht="45" customHeight="1" x14ac:dyDescent="0.25">
      <c r="A40" s="62" t="s">
        <v>1207</v>
      </c>
    </row>
    <row r="41" spans="1:4" ht="45" customHeight="1" x14ac:dyDescent="0.25">
      <c r="A41" s="62" t="s">
        <v>1208</v>
      </c>
    </row>
    <row r="42" spans="1:4" ht="45" customHeight="1" x14ac:dyDescent="0.25">
      <c r="A42" s="62" t="s">
        <v>1209</v>
      </c>
    </row>
    <row r="43" spans="1:4" ht="45" customHeight="1" x14ac:dyDescent="0.25">
      <c r="A43" s="62" t="s">
        <v>1210</v>
      </c>
    </row>
    <row r="44" spans="1:4" ht="45" customHeight="1" x14ac:dyDescent="0.25">
      <c r="A44" s="62" t="s">
        <v>1211</v>
      </c>
    </row>
    <row r="45" spans="1:4" ht="30" customHeight="1" x14ac:dyDescent="0.25">
      <c r="A45" s="62" t="s">
        <v>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P&amp;L Dashboard</vt:lpstr>
      <vt:lpstr>Cash Flow Dashboard</vt:lpstr>
      <vt:lpstr>Growth Metrics</vt:lpstr>
      <vt:lpstr>Scenario Analysis</vt:lpstr>
      <vt:lpstr>Platform Roadmap</vt:lpstr>
      <vt:lpstr>Assumptions</vt:lpstr>
      <vt:lpstr>Churn Model</vt:lpstr>
      <vt:lpstr>Startup Costs-Led BuildWA</vt:lpstr>
      <vt:lpstr>Revenue Model Overview</vt:lpstr>
      <vt:lpstr>Operating Expenses</vt:lpstr>
      <vt:lpstr>P&amp;L</vt:lpstr>
      <vt:lpstr>Cash Flow</vt:lpstr>
      <vt:lpstr>Balance Sheet</vt:lpstr>
      <vt:lpstr>Sources &amp;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Levy Rivers</cp:lastModifiedBy>
  <dcterms:created xsi:type="dcterms:W3CDTF">2025-12-17T15:08:48Z</dcterms:created>
  <dcterms:modified xsi:type="dcterms:W3CDTF">2026-01-14T10:28:09Z</dcterms:modified>
</cp:coreProperties>
</file>